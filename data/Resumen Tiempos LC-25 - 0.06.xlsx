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P-Calidad2\Desktop\ENTREGA TE-LC24\TE (SMV) - 0.06\"/>
    </mc:Choice>
  </mc:AlternateContent>
  <xr:revisionPtr revIDLastSave="0" documentId="13_ncr:1_{477B0381-AFD0-4AB7-BFA8-C8C873572686}" xr6:coauthVersionLast="47" xr6:coauthVersionMax="47" xr10:uidLastSave="{00000000-0000-0000-0000-000000000000}"/>
  <bookViews>
    <workbookView xWindow="-23148" yWindow="-108" windowWidth="23256" windowHeight="12456" xr2:uid="{A9621098-1530-4770-9C02-00393F86D7F8}"/>
  </bookViews>
  <sheets>
    <sheet name="Resumen" sheetId="1" r:id="rId1"/>
    <sheet name="R REUNIO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1" l="1"/>
</calcChain>
</file>

<file path=xl/sharedStrings.xml><?xml version="1.0" encoding="utf-8"?>
<sst xmlns="http://schemas.openxmlformats.org/spreadsheetml/2006/main" count="786" uniqueCount="207">
  <si>
    <t>Maquina</t>
  </si>
  <si>
    <t xml:space="preserve">Proyecto </t>
  </si>
  <si>
    <t>Corte</t>
  </si>
  <si>
    <t>SF3015M</t>
  </si>
  <si>
    <t>3:02 min / pieza</t>
  </si>
  <si>
    <t>Canto</t>
  </si>
  <si>
    <t>NA</t>
  </si>
  <si>
    <t>TPS1800</t>
  </si>
  <si>
    <t>4:40 min / pieza</t>
  </si>
  <si>
    <t>Ensamble de letras</t>
  </si>
  <si>
    <t>Engrapado</t>
  </si>
  <si>
    <t>Interceramic canal mediano</t>
  </si>
  <si>
    <t>15:07 min / pieza</t>
  </si>
  <si>
    <t>6:33 min / pieza</t>
  </si>
  <si>
    <t>Chevrolet Aguinaco (S10240)</t>
  </si>
  <si>
    <t>Pintura</t>
  </si>
  <si>
    <t>Interceramic canal grande</t>
  </si>
  <si>
    <t>Termoformado</t>
  </si>
  <si>
    <t>Termoformado logo Cadillac</t>
  </si>
  <si>
    <t>SOA Kentucky Fried Chicken</t>
  </si>
  <si>
    <t>20:54 min / pieza</t>
  </si>
  <si>
    <t>30:12 min / pieza</t>
  </si>
  <si>
    <t>Ranurado</t>
  </si>
  <si>
    <t>Soldadura</t>
  </si>
  <si>
    <t>Ensamble</t>
  </si>
  <si>
    <t>Bastidor</t>
  </si>
  <si>
    <t>Tensado y ensamble</t>
  </si>
  <si>
    <t>24:09 min / pieza</t>
  </si>
  <si>
    <t>Punteadora / roladora</t>
  </si>
  <si>
    <t>Sears Acapulco (S09278)</t>
  </si>
  <si>
    <t>353:39 min / pieza</t>
  </si>
  <si>
    <t>Muestra 2 marquesina Farmacias del Ahorro (S09882)</t>
  </si>
  <si>
    <t>74:22 min / pieza</t>
  </si>
  <si>
    <t>Área productiva</t>
  </si>
  <si>
    <t>Tiempo estándar</t>
  </si>
  <si>
    <t>Ecuación del modelo de regresión lineal múltiple</t>
  </si>
  <si>
    <t>Laser acrílico</t>
  </si>
  <si>
    <t>Sears Acapulco (S09278) / Joyería Rosario (S10142)</t>
  </si>
  <si>
    <t>Chevrolet Cuautitlán (S09194)</t>
  </si>
  <si>
    <t>Iluminación</t>
  </si>
  <si>
    <t>(Tiempos no adaptables a ecuación)</t>
  </si>
  <si>
    <t>Rotulación</t>
  </si>
  <si>
    <t>MG Motor González Gallo Jalisco</t>
  </si>
  <si>
    <t>Bastidor Casa Ramírez (S0687)</t>
  </si>
  <si>
    <t>NA= No aplica</t>
  </si>
  <si>
    <t>Laser lamina</t>
  </si>
  <si>
    <t>CREATOR-1325</t>
  </si>
  <si>
    <t xml:space="preserve">Tiempos no adaptables a ecuación (son aquellos tiempos donde las dimensiones de las letras son las mismas, se necesita variación </t>
  </si>
  <si>
    <t>De la ecuación del modelo de regresión se debe respetar el orden de las operaciones y no alterarla, además los valores existentes y los resultados son valores en hrs, dependiendo el uso se pueden traducir a min.</t>
  </si>
  <si>
    <t>4:18 min / pieza</t>
  </si>
  <si>
    <t>Trimcap</t>
  </si>
  <si>
    <t xml:space="preserve">De la ecuación tenemos x1=alto en cm de la pieza x2=ancho en cm de la pieza </t>
  </si>
  <si>
    <t>Empaque y PT</t>
  </si>
  <si>
    <t>Cinemas Dolphin  (S08754)</t>
  </si>
  <si>
    <t>37:58 min / paquete</t>
  </si>
  <si>
    <t>Chevrolet Arco chico</t>
  </si>
  <si>
    <t>Nota: se percata de posible existencia de datos que se ajujsten a modelos de regresion no necesariamente multiples o lineales.</t>
  </si>
  <si>
    <t>LG-ENSL-ENG1</t>
  </si>
  <si>
    <t>Backs</t>
  </si>
  <si>
    <t>Toyota Toluca (S08929)</t>
  </si>
  <si>
    <t>Nube 1.5 mts KFC</t>
  </si>
  <si>
    <t>116 min / pieza</t>
  </si>
  <si>
    <t>Sin flange</t>
  </si>
  <si>
    <t>Flange</t>
  </si>
  <si>
    <t>5:37 min / pieza</t>
  </si>
  <si>
    <t>Trovicel</t>
  </si>
  <si>
    <t>Circle K (Varias S0)</t>
  </si>
  <si>
    <t>Ensamble trimless</t>
  </si>
  <si>
    <t>Misubishi Universidad (S09963)</t>
  </si>
  <si>
    <t>PCX489811</t>
  </si>
  <si>
    <t>Acrilico</t>
  </si>
  <si>
    <t>4:12 min / pieza</t>
  </si>
  <si>
    <t>Interceramic GDE</t>
  </si>
  <si>
    <t>Nota: algunos datos se encuentran en ajuste estadistico ya que se analizaron pero no permiten ajustar una ecuacion de regresion</t>
  </si>
  <si>
    <t>KFC (interiores rojos y blancos)</t>
  </si>
  <si>
    <t>KFC (acrilico blanco GR-EXT-09)</t>
  </si>
  <si>
    <t>37:37 min / juego</t>
  </si>
  <si>
    <t>33:14 min / juego</t>
  </si>
  <si>
    <t>9:55  min / pieza</t>
  </si>
  <si>
    <t>Viniles Chiki Tenayuca (S10588)</t>
  </si>
  <si>
    <t>MG (70 CM)</t>
  </si>
  <si>
    <t>KFC Toluca A-EXT-02 (S10463)</t>
  </si>
  <si>
    <t>Autex Cuahutemoc  (Refacciones) (S10336)</t>
  </si>
  <si>
    <t>5:41  min / pieza</t>
  </si>
  <si>
    <t xml:space="preserve">Cadillac </t>
  </si>
  <si>
    <t>20:23 min / pieza</t>
  </si>
  <si>
    <t>LG-ENSL-ENG2</t>
  </si>
  <si>
    <t>39:44 min / pieza</t>
  </si>
  <si>
    <t>Corona Interceramic</t>
  </si>
  <si>
    <t>11:10 min / pieza</t>
  </si>
  <si>
    <t>19:26 min / pieza</t>
  </si>
  <si>
    <t>11:04 min / pieza</t>
  </si>
  <si>
    <t>Popeyes (S10474)</t>
  </si>
  <si>
    <t>Popeyes (S10474) LFC</t>
  </si>
  <si>
    <t>4:15  min / pieza</t>
  </si>
  <si>
    <t>380:46 min / pieza</t>
  </si>
  <si>
    <t>171:53 min / pieza</t>
  </si>
  <si>
    <t>206:45 min / pieza</t>
  </si>
  <si>
    <t>(Tiermpos no adaptables a ecuacion)</t>
  </si>
  <si>
    <t>Interceramic GDE Grupo Robledo</t>
  </si>
  <si>
    <t xml:space="preserve">25:27 min / pieza </t>
  </si>
  <si>
    <t>18:20 min / pieza</t>
  </si>
  <si>
    <t>Panel azul y cepillado Arco Chico</t>
  </si>
  <si>
    <t>25:43 min / pieza</t>
  </si>
  <si>
    <t>Lineas Blancas Circle K Acapulco</t>
  </si>
  <si>
    <t>Jetour Los Mochis (S10073)</t>
  </si>
  <si>
    <t>245:44 min / pieza</t>
  </si>
  <si>
    <t>-</t>
  </si>
  <si>
    <t>74:11 min / pieza</t>
  </si>
  <si>
    <t>Corona Interceramic (Limpieza y doble cara)</t>
  </si>
  <si>
    <t>Autex Quiroga Cajas de Luz (con iluminacion)</t>
  </si>
  <si>
    <t>22:23 min / pieza</t>
  </si>
  <si>
    <t>(Tiempos no adaptables a ecuacion)</t>
  </si>
  <si>
    <t>Alto</t>
  </si>
  <si>
    <t>Ancho</t>
  </si>
  <si>
    <t>Servicio Certificado (BUICK)</t>
  </si>
  <si>
    <t>Hoja</t>
  </si>
  <si>
    <t>Estructura para arco Jetour Los Mochis (S10073)</t>
  </si>
  <si>
    <t>41:53 min / pieza</t>
  </si>
  <si>
    <t>Mitsubishi Universidad (S09961)</t>
  </si>
  <si>
    <t>89:28 min / pieza</t>
  </si>
  <si>
    <t>Subproceso /  Material</t>
  </si>
  <si>
    <t>Panel ACM Negro BK</t>
  </si>
  <si>
    <t>Jetour Los Mochis (S10073) seccion A</t>
  </si>
  <si>
    <t>Jetour Los Mochis (S10073) seccion B</t>
  </si>
  <si>
    <t>68:07 min / pieza</t>
  </si>
  <si>
    <t>25:49 min / pieza</t>
  </si>
  <si>
    <t>Popeyes  (S10474)</t>
  </si>
  <si>
    <t>28:39 min / pieza</t>
  </si>
  <si>
    <t>10:28 min / pieza</t>
  </si>
  <si>
    <t>42:57 min / pieza</t>
  </si>
  <si>
    <t>(Tiempos no adaptables con el TE basta para estimar)</t>
  </si>
  <si>
    <t>65:51 min / pieza</t>
  </si>
  <si>
    <t>3:48 min / pieza</t>
  </si>
  <si>
    <t>11:00 min / pieza</t>
  </si>
  <si>
    <t>12:44 min / pieza</t>
  </si>
  <si>
    <t>Popeyes (FLC) (S10474)</t>
  </si>
  <si>
    <t>Sanborns(S10973)</t>
  </si>
  <si>
    <t>Sanborns Plaza Nuevo Leon (S10093)</t>
  </si>
  <si>
    <t>76:40 min / pieza</t>
  </si>
  <si>
    <t>19:57 min / pieza</t>
  </si>
  <si>
    <t>668:26 min / unidad</t>
  </si>
  <si>
    <t>95:35 min / pieza</t>
  </si>
  <si>
    <t>Empaque</t>
  </si>
  <si>
    <t>Corona Interceramic (ensamble, forro y empaque)</t>
  </si>
  <si>
    <t>482:28 min (corona completa)</t>
  </si>
  <si>
    <t>11:15  min / pieza</t>
  </si>
  <si>
    <t>necesita transformacion los datos no tienen comportamiento normal</t>
  </si>
  <si>
    <t>(Tiermpos no adaptables a ecuacion) (Utilizar TE)</t>
  </si>
  <si>
    <t>Analisis de trayectorias CNC</t>
  </si>
  <si>
    <t>LG-ENSL-ENG3</t>
  </si>
  <si>
    <t>Totem Autex Quiroga</t>
  </si>
  <si>
    <t>KFC Nube doble vista (S09981)</t>
  </si>
  <si>
    <t>KFC Los Pinos Cajas de luz (S09549)</t>
  </si>
  <si>
    <t>Direccionales KFC Tecamac (S10713)</t>
  </si>
  <si>
    <t>Tiempo estándar por área productiva (SMV) LC 24 (Versión 0.05)</t>
  </si>
  <si>
    <t>Interceramic (Elemento web) (S12784)</t>
  </si>
  <si>
    <t>Banregio GDE (S12404)</t>
  </si>
  <si>
    <t>11:58 min / pieza</t>
  </si>
  <si>
    <t>Bucket KFC 1.80 mts</t>
  </si>
  <si>
    <t>Centros de Colision Tollocan (S11635)</t>
  </si>
  <si>
    <t>6:54 min / pieza</t>
  </si>
  <si>
    <t>125:04 / pieza</t>
  </si>
  <si>
    <t>Nube 1.8 KFC (S12450)</t>
  </si>
  <si>
    <t>42:51 min / paquete</t>
  </si>
  <si>
    <t>Suburbia Espacio AGS (S12615)</t>
  </si>
  <si>
    <t>128:01 min / paquete</t>
  </si>
  <si>
    <t>132:41 min / paquete</t>
  </si>
  <si>
    <t xml:space="preserve">Centros de Colision (S12307) </t>
  </si>
  <si>
    <t>Seminuevos Certificados (S10941)</t>
  </si>
  <si>
    <t>149:09 min / paquete</t>
  </si>
  <si>
    <t>Chevrolet Peregrina Puebla (Serv. Cert) (S12214)</t>
  </si>
  <si>
    <t>92:25 min / paquete</t>
  </si>
  <si>
    <t>Empaque SF</t>
  </si>
  <si>
    <t>Empaque CF</t>
  </si>
  <si>
    <t>31:33 min / pieza</t>
  </si>
  <si>
    <t>Monolito Toyota (S12112)</t>
  </si>
  <si>
    <t xml:space="preserve">LG-RAN-ALUTECM </t>
  </si>
  <si>
    <t>Direccionales KFC Tecamac (S12137)</t>
  </si>
  <si>
    <t>179:16 min / pieza</t>
  </si>
  <si>
    <t xml:space="preserve">Interceramic (Elemento web) </t>
  </si>
  <si>
    <t>28:37 min / pieza</t>
  </si>
  <si>
    <t>29:49 min / pieza</t>
  </si>
  <si>
    <t>101:18 min / paquete</t>
  </si>
  <si>
    <t>Leyenda KFC 0.85 m (S12318)</t>
  </si>
  <si>
    <t>Leyenda KFC 1 m (S12318)</t>
  </si>
  <si>
    <t>91:26 min / paquete</t>
  </si>
  <si>
    <t>Banda CPM Mediana</t>
  </si>
  <si>
    <t xml:space="preserve">Banda CPM Chica </t>
  </si>
  <si>
    <t>15:34 min / modulo  372 min por toda</t>
  </si>
  <si>
    <t>697:36 min / banda</t>
  </si>
  <si>
    <t xml:space="preserve">Corona Interceramic </t>
  </si>
  <si>
    <t>857:23 min / corona</t>
  </si>
  <si>
    <t>894:45 min /  corona</t>
  </si>
  <si>
    <t>Bastidores Toyota</t>
  </si>
  <si>
    <t>15:52 min / bastidor</t>
  </si>
  <si>
    <t>CPM Banda grande</t>
  </si>
  <si>
    <t>109: 25 min / pieza</t>
  </si>
  <si>
    <t>CPM Banda Mediana</t>
  </si>
  <si>
    <t xml:space="preserve"> LG-TERM-B-YUANTONG</t>
  </si>
  <si>
    <t>18:57 min / pieza (meedia hoja)</t>
  </si>
  <si>
    <t>Tiempo ensamble= 0.2545 hrs+0.01067(x2)</t>
  </si>
  <si>
    <t>No es recomendado porque los bastidores miden lo mismo</t>
  </si>
  <si>
    <t>No es recomendado porque miden lo mismo</t>
  </si>
  <si>
    <t>(Es mas recomendado TE)</t>
  </si>
  <si>
    <t>No es recomendado construir una ecuacion para estos datos usar TE</t>
  </si>
  <si>
    <t>Tiempo estándar por área productiva (SMV) LC 25 (Summary versiones)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</si>
</sst>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Candara"/>
      <family val="2"/>
    </font>
    <font>
      <b/>
      <sz val="11"/>
      <color theme="1"/>
      <name val="Candara"/>
      <family val="2"/>
    </font>
    <font>
      <sz val="8"/>
      <name val="Aptos Narrow"/>
      <family val="2"/>
      <scheme val="minor"/>
    </font>
    <font>
      <b/>
      <sz val="14"/>
      <color theme="1"/>
      <name val="Candara"/>
      <family val="2"/>
    </font>
    <font>
      <sz val="12"/>
      <color theme="1"/>
      <name val="Candara"/>
      <family val="2"/>
    </font>
    <font>
      <sz val="11"/>
      <name val="Aptos Narrow"/>
      <family val="2"/>
      <scheme val="minor"/>
    </font>
    <font>
      <b/>
      <sz val="11"/>
      <name val="Candara"/>
      <family val="2"/>
    </font>
    <font>
      <sz val="11"/>
      <name val="Candara"/>
      <family val="2"/>
    </font>
    <font>
      <sz val="12"/>
      <color rgb="FFFF0000"/>
      <name val="Candara"/>
      <family val="2"/>
    </font>
    <font>
      <sz val="12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vertical="center"/>
    </xf>
    <xf numFmtId="0" fontId="6" fillId="0" borderId="0" xfId="0" applyFont="1"/>
    <xf numFmtId="0" fontId="6" fillId="3" borderId="0" xfId="0" applyFont="1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6" fontId="8" fillId="0" borderId="1" xfId="0" applyNumberFormat="1" applyFont="1" applyBorder="1" applyAlignment="1">
      <alignment horizontal="center" vertical="center"/>
    </xf>
    <xf numFmtId="20" fontId="8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8" fillId="0" borderId="0" xfId="0" applyFont="1"/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171450</xdr:colOff>
      <xdr:row>14</xdr:row>
      <xdr:rowOff>0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F586564-E4F5-A989-EA9A-608588CC6888}"/>
            </a:ext>
          </a:extLst>
        </xdr:cNvPr>
        <xdr:cNvSpPr txBox="1"/>
      </xdr:nvSpPr>
      <xdr:spPr>
        <a:xfrm>
          <a:off x="9772650" y="23002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15</xdr:row>
      <xdr:rowOff>100012</xdr:rowOff>
    </xdr:from>
    <xdr:ext cx="65" cy="172227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9A0DE01-759B-42AD-B986-368A41D06798}"/>
            </a:ext>
          </a:extLst>
        </xdr:cNvPr>
        <xdr:cNvSpPr txBox="1"/>
      </xdr:nvSpPr>
      <xdr:spPr>
        <a:xfrm>
          <a:off x="9772650" y="30622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25</xdr:row>
      <xdr:rowOff>71437</xdr:rowOff>
    </xdr:from>
    <xdr:ext cx="4116768" cy="172227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480E6638-35F4-41A5-A3DA-0BA1D3DEAA76}"/>
            </a:ext>
          </a:extLst>
        </xdr:cNvPr>
        <xdr:cNvSpPr txBox="1"/>
      </xdr:nvSpPr>
      <xdr:spPr>
        <a:xfrm>
          <a:off x="12849225" y="7243762"/>
          <a:ext cx="411676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ensamble backs= -0.02128 hrs +0.0069 hrs (x1)-0.0021 hrs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32</xdr:row>
      <xdr:rowOff>71437</xdr:rowOff>
    </xdr:from>
    <xdr:ext cx="3612079" cy="172227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E33EDAF0-40DD-43AF-93A8-DB51EAB1296B}"/>
            </a:ext>
          </a:extLst>
        </xdr:cNvPr>
        <xdr:cNvSpPr txBox="1"/>
      </xdr:nvSpPr>
      <xdr:spPr>
        <a:xfrm>
          <a:off x="12849225" y="8539162"/>
          <a:ext cx="361207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trimcap 1= 1.9136 hrs -0.0206 hrs (x1)+0.0009 hrs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36</xdr:row>
      <xdr:rowOff>71437</xdr:rowOff>
    </xdr:from>
    <xdr:ext cx="3641703" cy="172227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623BA656-92A3-4352-8250-FD52A33CFC0D}"/>
            </a:ext>
          </a:extLst>
        </xdr:cNvPr>
        <xdr:cNvSpPr txBox="1"/>
      </xdr:nvSpPr>
      <xdr:spPr>
        <a:xfrm>
          <a:off x="12849225" y="9834562"/>
          <a:ext cx="364170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pintura 1= 0.2452 hrs +0.01924 hrs (x1)-0.0037 hrs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44</xdr:row>
      <xdr:rowOff>71437</xdr:rowOff>
    </xdr:from>
    <xdr:ext cx="3710568" cy="172227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75C5BD26-F14F-42A4-8573-6B8E3ABF9C73}"/>
            </a:ext>
          </a:extLst>
        </xdr:cNvPr>
        <xdr:cNvSpPr txBox="1"/>
      </xdr:nvSpPr>
      <xdr:spPr>
        <a:xfrm>
          <a:off x="8763000" y="4310062"/>
          <a:ext cx="371056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rotulación= 0.2518 hrs +0.0011 hrs (x1)+0.0005 hrs 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58</xdr:row>
      <xdr:rowOff>71437</xdr:rowOff>
    </xdr:from>
    <xdr:ext cx="3833806" cy="172227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7B3DE5B2-D6D0-491F-B620-19EBB1D0611D}"/>
            </a:ext>
          </a:extLst>
        </xdr:cNvPr>
        <xdr:cNvSpPr txBox="1"/>
      </xdr:nvSpPr>
      <xdr:spPr>
        <a:xfrm>
          <a:off x="8763000" y="4976812"/>
          <a:ext cx="383380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soldadura= -129.9271 hrs +0.4871  hrs (x1)+0.1490 hrs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6</xdr:row>
      <xdr:rowOff>100012</xdr:rowOff>
    </xdr:from>
    <xdr:ext cx="5243615" cy="172227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9560135-C76F-4C29-926B-C9ED9C3A922D}"/>
            </a:ext>
          </a:extLst>
        </xdr:cNvPr>
        <xdr:cNvSpPr txBox="1"/>
      </xdr:nvSpPr>
      <xdr:spPr>
        <a:xfrm>
          <a:off x="8763000" y="1595437"/>
          <a:ext cx="524361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corte 1= 0.0426 hrs +0.0004 hrs (alto en cm "x1")+0.0002 hrs (ancho en cm "x2")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twoCellAnchor editAs="oneCell">
    <xdr:from>
      <xdr:col>0</xdr:col>
      <xdr:colOff>190500</xdr:colOff>
      <xdr:row>0</xdr:row>
      <xdr:rowOff>0</xdr:rowOff>
    </xdr:from>
    <xdr:to>
      <xdr:col>2</xdr:col>
      <xdr:colOff>415290</xdr:colOff>
      <xdr:row>4</xdr:row>
      <xdr:rowOff>3977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5CE2E74-CE89-A75C-9AE0-7D7909AE6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0"/>
          <a:ext cx="2390775" cy="699302"/>
        </a:xfrm>
        <a:prstGeom prst="rect">
          <a:avLst/>
        </a:prstGeom>
      </xdr:spPr>
    </xdr:pic>
    <xdr:clientData/>
  </xdr:twoCellAnchor>
  <xdr:oneCellAnchor>
    <xdr:from>
      <xdr:col>8</xdr:col>
      <xdr:colOff>193675</xdr:colOff>
      <xdr:row>45</xdr:row>
      <xdr:rowOff>57150</xdr:rowOff>
    </xdr:from>
    <xdr:ext cx="3772508" cy="346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BB2D9AFA-68DA-4EFC-8218-743F798E9A00}"/>
                </a:ext>
              </a:extLst>
            </xdr:cNvPr>
            <xdr:cNvSpPr txBox="1"/>
          </xdr:nvSpPr>
          <xdr:spPr>
            <a:xfrm>
              <a:off x="9794875" y="10585450"/>
              <a:ext cx="3772508" cy="346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MX" sz="1100">
                  <a:latin typeface="Candara" panose="020E0502030303020204" pitchFamily="34" charset="0"/>
                </a:rPr>
                <a:t>Tiempo</a:t>
              </a:r>
              <a:r>
                <a:rPr lang="es-MX" sz="1100" baseline="0">
                  <a:latin typeface="Candara" panose="020E0502030303020204" pitchFamily="34" charset="0"/>
                </a:rPr>
                <a:t> ranurado= -0.5336 hrs-0.0017 hrs (x1)+0.0002 hrs (x2</a:t>
              </a:r>
              <a14:m>
                <m:oMath xmlns:m="http://schemas.openxmlformats.org/officeDocument/2006/math">
                  <m:r>
                    <a:rPr lang="es-MX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endParaRPr lang="es-MX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MX" sz="1100">
                <a:latin typeface="Candara" panose="020E0502030303020204" pitchFamily="34" charset="0"/>
              </a:endParaRPr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BB2D9AFA-68DA-4EFC-8218-743F798E9A00}"/>
                </a:ext>
              </a:extLst>
            </xdr:cNvPr>
            <xdr:cNvSpPr txBox="1"/>
          </xdr:nvSpPr>
          <xdr:spPr>
            <a:xfrm>
              <a:off x="9794875" y="10585450"/>
              <a:ext cx="3772508" cy="346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MX" sz="1100">
                  <a:latin typeface="Candara" panose="020E0502030303020204" pitchFamily="34" charset="0"/>
                </a:rPr>
                <a:t>Tiempo</a:t>
              </a:r>
              <a:r>
                <a:rPr lang="es-MX" sz="1100" baseline="0">
                  <a:latin typeface="Candara" panose="020E0502030303020204" pitchFamily="34" charset="0"/>
                </a:rPr>
                <a:t> ranurado= -0.5336 hrs-0.0017 hrs (x1)+0.0002 hrs (x2</a:t>
              </a:r>
              <a:r>
                <a:rPr lang="es-MX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s-MX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MX" sz="1100">
                <a:latin typeface="Candara" panose="020E0502030303020204" pitchFamily="34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171450</xdr:colOff>
      <xdr:row>16</xdr:row>
      <xdr:rowOff>71437</xdr:rowOff>
    </xdr:from>
    <xdr:ext cx="3712876" cy="172227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9C44C866-19A4-47D4-95E9-982D9815D47C}"/>
            </a:ext>
          </a:extLst>
        </xdr:cNvPr>
        <xdr:cNvSpPr txBox="1"/>
      </xdr:nvSpPr>
      <xdr:spPr>
        <a:xfrm>
          <a:off x="9957707" y="4360408"/>
          <a:ext cx="371287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ensamble 1= 2.6072 hrs -0.0290 hrs (x1)-0.0005 hrs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14</xdr:row>
      <xdr:rowOff>100012</xdr:rowOff>
    </xdr:from>
    <xdr:ext cx="3378554" cy="172227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39244017-658B-4EF3-B90B-1A4047B65635}"/>
            </a:ext>
          </a:extLst>
        </xdr:cNvPr>
        <xdr:cNvSpPr txBox="1"/>
      </xdr:nvSpPr>
      <xdr:spPr>
        <a:xfrm>
          <a:off x="9772650" y="3681412"/>
          <a:ext cx="3378554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canto SF= 0.5562hrs -0.0098 hrs (x1)+0.0005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9</xdr:row>
      <xdr:rowOff>100012</xdr:rowOff>
    </xdr:from>
    <xdr:ext cx="3464346" cy="172227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709F7287-42CD-4F79-B89E-9593D90C6BEC}"/>
            </a:ext>
          </a:extLst>
        </xdr:cNvPr>
        <xdr:cNvSpPr txBox="1"/>
      </xdr:nvSpPr>
      <xdr:spPr>
        <a:xfrm>
          <a:off x="9772650" y="2376487"/>
          <a:ext cx="346434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corte 2= -0.1225 hrs +0.0072 hrs(x1)-0.0057 hrs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10</xdr:row>
      <xdr:rowOff>100012</xdr:rowOff>
    </xdr:from>
    <xdr:ext cx="65" cy="172227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B1079CBB-95C4-444B-9263-C72900569DA0}"/>
            </a:ext>
          </a:extLst>
        </xdr:cNvPr>
        <xdr:cNvSpPr txBox="1"/>
      </xdr:nvSpPr>
      <xdr:spPr>
        <a:xfrm>
          <a:off x="9772650" y="2643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14</xdr:row>
      <xdr:rowOff>0</xdr:rowOff>
    </xdr:from>
    <xdr:ext cx="65" cy="172227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88138FF-5813-485B-B54B-3B83CA97916A}"/>
            </a:ext>
          </a:extLst>
        </xdr:cNvPr>
        <xdr:cNvSpPr txBox="1"/>
      </xdr:nvSpPr>
      <xdr:spPr>
        <a:xfrm>
          <a:off x="9772650" y="23002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23</xdr:row>
      <xdr:rowOff>100012</xdr:rowOff>
    </xdr:from>
    <xdr:ext cx="65" cy="172227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7F287B5C-B9C2-493B-82A9-D86F2FE74583}"/>
            </a:ext>
          </a:extLst>
        </xdr:cNvPr>
        <xdr:cNvSpPr txBox="1"/>
      </xdr:nvSpPr>
      <xdr:spPr>
        <a:xfrm>
          <a:off x="9772650" y="2643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23</xdr:row>
      <xdr:rowOff>100012</xdr:rowOff>
    </xdr:from>
    <xdr:ext cx="65" cy="172227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9F734A5-498D-41AB-A95B-2E44EDFB8FC7}"/>
            </a:ext>
          </a:extLst>
        </xdr:cNvPr>
        <xdr:cNvSpPr txBox="1"/>
      </xdr:nvSpPr>
      <xdr:spPr>
        <a:xfrm>
          <a:off x="9772650" y="2643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26</xdr:row>
      <xdr:rowOff>100012</xdr:rowOff>
    </xdr:from>
    <xdr:ext cx="65" cy="17222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6B026A73-FAA2-4ED1-BB63-8C825B6D9584}"/>
            </a:ext>
          </a:extLst>
        </xdr:cNvPr>
        <xdr:cNvSpPr txBox="1"/>
      </xdr:nvSpPr>
      <xdr:spPr>
        <a:xfrm>
          <a:off x="9772650" y="50053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26</xdr:row>
      <xdr:rowOff>100012</xdr:rowOff>
    </xdr:from>
    <xdr:ext cx="65" cy="172227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9F629F34-D8A2-41C4-9C3B-9D047CA283CA}"/>
            </a:ext>
          </a:extLst>
        </xdr:cNvPr>
        <xdr:cNvSpPr txBox="1"/>
      </xdr:nvSpPr>
      <xdr:spPr>
        <a:xfrm>
          <a:off x="9772650" y="50053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177800</xdr:colOff>
      <xdr:row>35</xdr:row>
      <xdr:rowOff>63500</xdr:rowOff>
    </xdr:from>
    <xdr:ext cx="3640933" cy="172227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70FEE091-F855-4D59-9EFE-DFE9FE197A84}"/>
            </a:ext>
          </a:extLst>
        </xdr:cNvPr>
        <xdr:cNvSpPr txBox="1"/>
      </xdr:nvSpPr>
      <xdr:spPr>
        <a:xfrm>
          <a:off x="12855575" y="9502775"/>
          <a:ext cx="364093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pintura 2= 0.7966  hrs -0.0231 hrs (x1)+0.0065 hrs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190500</xdr:colOff>
      <xdr:row>15</xdr:row>
      <xdr:rowOff>63500</xdr:rowOff>
    </xdr:from>
    <xdr:ext cx="3342069" cy="172227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7C1C9EFA-D442-4CF4-AE02-71214AE49C49}"/>
            </a:ext>
          </a:extLst>
        </xdr:cNvPr>
        <xdr:cNvSpPr txBox="1"/>
      </xdr:nvSpPr>
      <xdr:spPr>
        <a:xfrm>
          <a:off x="9791700" y="3987800"/>
          <a:ext cx="334206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canto CF= 0.2915 hrs -0.0023 hrs (x1)+0.0003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185058</xdr:colOff>
      <xdr:row>10</xdr:row>
      <xdr:rowOff>76200</xdr:rowOff>
    </xdr:from>
    <xdr:ext cx="3589957" cy="172227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BA818B92-884E-43D0-A520-5C768CF2D9AF}"/>
            </a:ext>
          </a:extLst>
        </xdr:cNvPr>
        <xdr:cNvSpPr txBox="1"/>
      </xdr:nvSpPr>
      <xdr:spPr>
        <a:xfrm>
          <a:off x="9971315" y="2993571"/>
          <a:ext cx="3589957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corte 3 = 0.154 hrs -0.00009 hrs(x1)+0.00024 hrs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163286</xdr:colOff>
      <xdr:row>17</xdr:row>
      <xdr:rowOff>87086</xdr:rowOff>
    </xdr:from>
    <xdr:ext cx="3630609" cy="172227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3FA30016-C8F4-4C9D-AC59-7CB30BC36F39}"/>
            </a:ext>
          </a:extLst>
        </xdr:cNvPr>
        <xdr:cNvSpPr txBox="1"/>
      </xdr:nvSpPr>
      <xdr:spPr>
        <a:xfrm>
          <a:off x="9949543" y="4691743"/>
          <a:ext cx="363060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ensamble 2= 0.0915 hrs -0.0011hrs (x1)-0.0004hrs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163286</xdr:colOff>
      <xdr:row>18</xdr:row>
      <xdr:rowOff>87086</xdr:rowOff>
    </xdr:from>
    <xdr:ext cx="3969613" cy="172227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F4966138-0CA2-4A72-B5C2-5B32028062B2}"/>
            </a:ext>
          </a:extLst>
        </xdr:cNvPr>
        <xdr:cNvSpPr txBox="1"/>
      </xdr:nvSpPr>
      <xdr:spPr>
        <a:xfrm>
          <a:off x="9935936" y="4973411"/>
          <a:ext cx="396961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ensamble 3= -0.0156 hrs + 0.0079 hrs (x1)-0.00008 hrs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163286</xdr:colOff>
      <xdr:row>19</xdr:row>
      <xdr:rowOff>87086</xdr:rowOff>
    </xdr:from>
    <xdr:ext cx="3780715" cy="172227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FCC24A78-891E-4692-B3D3-0A8359E5CD78}"/>
            </a:ext>
          </a:extLst>
        </xdr:cNvPr>
        <xdr:cNvSpPr txBox="1"/>
      </xdr:nvSpPr>
      <xdr:spPr>
        <a:xfrm>
          <a:off x="12840195" y="6002977"/>
          <a:ext cx="378071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ensamble 4= -0.9472 hrs +0.0177 hrs (x1)+0.0016 hrs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123825</xdr:colOff>
      <xdr:row>23</xdr:row>
      <xdr:rowOff>66675</xdr:rowOff>
    </xdr:from>
    <xdr:ext cx="3798797" cy="172227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5F2DA9CD-AA6F-4A68-A558-C943022B02A0}"/>
            </a:ext>
          </a:extLst>
        </xdr:cNvPr>
        <xdr:cNvSpPr txBox="1"/>
      </xdr:nvSpPr>
      <xdr:spPr>
        <a:xfrm>
          <a:off x="12801600" y="6629400"/>
          <a:ext cx="3798797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ensamble 5= -1.1701 hrs + 0.1031 hrs (x1) -0.0053 hrs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11</xdr:row>
      <xdr:rowOff>100012</xdr:rowOff>
    </xdr:from>
    <xdr:ext cx="65" cy="172227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54C22C53-04EA-4CE0-97EF-9792C5776604}"/>
            </a:ext>
          </a:extLst>
        </xdr:cNvPr>
        <xdr:cNvSpPr txBox="1"/>
      </xdr:nvSpPr>
      <xdr:spPr>
        <a:xfrm>
          <a:off x="12195810" y="37576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11</xdr:row>
      <xdr:rowOff>100012</xdr:rowOff>
    </xdr:from>
    <xdr:ext cx="65" cy="172227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1FBFA2B9-3842-438A-83D1-B5939F5F906B}"/>
            </a:ext>
          </a:extLst>
        </xdr:cNvPr>
        <xdr:cNvSpPr txBox="1"/>
      </xdr:nvSpPr>
      <xdr:spPr>
        <a:xfrm>
          <a:off x="12195810" y="37576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174172</xdr:colOff>
      <xdr:row>11</xdr:row>
      <xdr:rowOff>76200</xdr:rowOff>
    </xdr:from>
    <xdr:ext cx="3636573" cy="172227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C5F4CFB7-A3F0-4203-8238-A99AF1CD425C}"/>
            </a:ext>
          </a:extLst>
        </xdr:cNvPr>
        <xdr:cNvSpPr txBox="1"/>
      </xdr:nvSpPr>
      <xdr:spPr>
        <a:xfrm>
          <a:off x="12198532" y="3733800"/>
          <a:ext cx="363657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corte 4 = -0.4442 hrs + 0.0054 hrs(x1)+0.0005 hrs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13</xdr:row>
      <xdr:rowOff>100012</xdr:rowOff>
    </xdr:from>
    <xdr:ext cx="65" cy="172227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6A2E1D38-AC5B-4BE8-A5BD-6CD005982D9B}"/>
            </a:ext>
          </a:extLst>
        </xdr:cNvPr>
        <xdr:cNvSpPr txBox="1"/>
      </xdr:nvSpPr>
      <xdr:spPr>
        <a:xfrm>
          <a:off x="12864193" y="441075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13</xdr:row>
      <xdr:rowOff>100012</xdr:rowOff>
    </xdr:from>
    <xdr:ext cx="65" cy="172227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F6E2DD1D-2AC7-4ABF-A852-46761EB291D3}"/>
            </a:ext>
          </a:extLst>
        </xdr:cNvPr>
        <xdr:cNvSpPr txBox="1"/>
      </xdr:nvSpPr>
      <xdr:spPr>
        <a:xfrm>
          <a:off x="12864193" y="441075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163285</xdr:colOff>
      <xdr:row>33</xdr:row>
      <xdr:rowOff>65315</xdr:rowOff>
    </xdr:from>
    <xdr:ext cx="3280835" cy="172227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5C631D9A-7D57-414C-9E87-837A51347746}"/>
            </a:ext>
          </a:extLst>
        </xdr:cNvPr>
        <xdr:cNvSpPr txBox="1"/>
      </xdr:nvSpPr>
      <xdr:spPr>
        <a:xfrm>
          <a:off x="12856028" y="9220201"/>
          <a:ext cx="32808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pintura= 2.88  hrs -0.025 hrs (x1)+0.0015hrs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200025</xdr:colOff>
      <xdr:row>34</xdr:row>
      <xdr:rowOff>66675</xdr:rowOff>
    </xdr:from>
    <xdr:ext cx="3528145" cy="172227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F21E4391-6D13-4330-A87B-8D8A61BD91D8}"/>
            </a:ext>
          </a:extLst>
        </xdr:cNvPr>
        <xdr:cNvSpPr txBox="1"/>
      </xdr:nvSpPr>
      <xdr:spPr>
        <a:xfrm>
          <a:off x="12877800" y="9525000"/>
          <a:ext cx="352814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pintura= -3.9031  hrs +0.067 hrs (x1)+0.0077 hrs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14</xdr:row>
      <xdr:rowOff>0</xdr:rowOff>
    </xdr:from>
    <xdr:ext cx="65" cy="172227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61EFB224-5C96-4FD9-A3AD-09E04E3FCF53}"/>
            </a:ext>
          </a:extLst>
        </xdr:cNvPr>
        <xdr:cNvSpPr txBox="1"/>
      </xdr:nvSpPr>
      <xdr:spPr>
        <a:xfrm>
          <a:off x="12864193" y="40624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14</xdr:row>
      <xdr:rowOff>0</xdr:rowOff>
    </xdr:from>
    <xdr:ext cx="65" cy="172227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448BE8A1-BA87-439E-A4FB-94DE78A3113A}"/>
            </a:ext>
          </a:extLst>
        </xdr:cNvPr>
        <xdr:cNvSpPr txBox="1"/>
      </xdr:nvSpPr>
      <xdr:spPr>
        <a:xfrm>
          <a:off x="12864193" y="40624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152400</xdr:colOff>
      <xdr:row>26</xdr:row>
      <xdr:rowOff>57150</xdr:rowOff>
    </xdr:from>
    <xdr:ext cx="3872535" cy="172227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6BB7A16B-D62D-4150-A7A6-6C2672C1CF06}"/>
            </a:ext>
          </a:extLst>
        </xdr:cNvPr>
        <xdr:cNvSpPr txBox="1"/>
      </xdr:nvSpPr>
      <xdr:spPr>
        <a:xfrm>
          <a:off x="12830175" y="7553325"/>
          <a:ext cx="3872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iluminación 2= 0.6419 hrs -0.0268 hrs (x1)+0.0032 hrs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27</xdr:row>
      <xdr:rowOff>71437</xdr:rowOff>
    </xdr:from>
    <xdr:ext cx="3956083" cy="172227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B3A0CDFA-3402-4293-BF1A-31E17824BC8E}"/>
            </a:ext>
          </a:extLst>
        </xdr:cNvPr>
        <xdr:cNvSpPr txBox="1"/>
      </xdr:nvSpPr>
      <xdr:spPr>
        <a:xfrm>
          <a:off x="12756356" y="8667750"/>
          <a:ext cx="395608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iluminación 1= -0.0350 hrs +0.0029 hrs (x1)+0.0002 hrs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28</xdr:row>
      <xdr:rowOff>71437</xdr:rowOff>
    </xdr:from>
    <xdr:ext cx="3963521" cy="172227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979963DB-9247-418F-A109-D92FCCBD517D}"/>
            </a:ext>
          </a:extLst>
        </xdr:cNvPr>
        <xdr:cNvSpPr txBox="1"/>
      </xdr:nvSpPr>
      <xdr:spPr>
        <a:xfrm>
          <a:off x="12934950" y="9120187"/>
          <a:ext cx="3963521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iluminación 3= 0.03889 hrs +0.0010 hrs (x1)+0.0020hrs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30</xdr:row>
      <xdr:rowOff>71437</xdr:rowOff>
    </xdr:from>
    <xdr:ext cx="3795206" cy="172227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1965284F-92F2-4312-A163-C487DC10B5A2}"/>
            </a:ext>
          </a:extLst>
        </xdr:cNvPr>
        <xdr:cNvSpPr txBox="1"/>
      </xdr:nvSpPr>
      <xdr:spPr>
        <a:xfrm>
          <a:off x="12934950" y="9786937"/>
          <a:ext cx="379520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MX" sz="1100">
              <a:latin typeface="Candara" panose="020E0502030303020204" pitchFamily="34" charset="0"/>
            </a:rPr>
            <a:t>Tiempo</a:t>
          </a:r>
          <a:r>
            <a:rPr lang="es-MX" sz="1100" baseline="0">
              <a:latin typeface="Candara" panose="020E0502030303020204" pitchFamily="34" charset="0"/>
            </a:rPr>
            <a:t> iluminación 5= 1.1677 hrs -0.0371 hrs (x1)+0.0054 hrs (x2)</a:t>
          </a:r>
          <a:endParaRPr lang="es-MX" sz="1100">
            <a:latin typeface="Candara" panose="020E0502030303020204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171450</xdr:colOff>
      <xdr:row>14</xdr:row>
      <xdr:rowOff>0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8249DD2-4945-48E0-B58A-475DDA7541F9}"/>
            </a:ext>
          </a:extLst>
        </xdr:cNvPr>
        <xdr:cNvSpPr txBox="1"/>
      </xdr:nvSpPr>
      <xdr:spPr>
        <a:xfrm>
          <a:off x="13315950" y="4267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15</xdr:row>
      <xdr:rowOff>100012</xdr:rowOff>
    </xdr:from>
    <xdr:ext cx="65" cy="172227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CFD9296-ADF6-4C91-8984-6E2B3C16DACC}"/>
            </a:ext>
          </a:extLst>
        </xdr:cNvPr>
        <xdr:cNvSpPr txBox="1"/>
      </xdr:nvSpPr>
      <xdr:spPr>
        <a:xfrm>
          <a:off x="13315950" y="47101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twoCellAnchor editAs="oneCell">
    <xdr:from>
      <xdr:col>0</xdr:col>
      <xdr:colOff>190500</xdr:colOff>
      <xdr:row>0</xdr:row>
      <xdr:rowOff>0</xdr:rowOff>
    </xdr:from>
    <xdr:to>
      <xdr:col>2</xdr:col>
      <xdr:colOff>415290</xdr:colOff>
      <xdr:row>4</xdr:row>
      <xdr:rowOff>3977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0D9EF8A-F2F7-4675-AC36-03F74C4BB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0"/>
          <a:ext cx="2396490" cy="712637"/>
        </a:xfrm>
        <a:prstGeom prst="rect">
          <a:avLst/>
        </a:prstGeom>
      </xdr:spPr>
    </xdr:pic>
    <xdr:clientData/>
  </xdr:twoCellAnchor>
  <xdr:oneCellAnchor>
    <xdr:from>
      <xdr:col>8</xdr:col>
      <xdr:colOff>171450</xdr:colOff>
      <xdr:row>10</xdr:row>
      <xdr:rowOff>100012</xdr:rowOff>
    </xdr:from>
    <xdr:ext cx="65" cy="17222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ECF75FEA-48AF-4AB4-AF17-49ECCBD423CD}"/>
            </a:ext>
          </a:extLst>
        </xdr:cNvPr>
        <xdr:cNvSpPr txBox="1"/>
      </xdr:nvSpPr>
      <xdr:spPr>
        <a:xfrm>
          <a:off x="13315950" y="29956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14</xdr:row>
      <xdr:rowOff>0</xdr:rowOff>
    </xdr:from>
    <xdr:ext cx="65" cy="172227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7A8152B6-985B-44D0-B30A-FA7A6A9E1976}"/>
            </a:ext>
          </a:extLst>
        </xdr:cNvPr>
        <xdr:cNvSpPr txBox="1"/>
      </xdr:nvSpPr>
      <xdr:spPr>
        <a:xfrm>
          <a:off x="13315950" y="4267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23</xdr:row>
      <xdr:rowOff>100012</xdr:rowOff>
    </xdr:from>
    <xdr:ext cx="65" cy="172227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4CB8E69A-C6D3-4E5C-B215-3176FA43BFF3}"/>
            </a:ext>
          </a:extLst>
        </xdr:cNvPr>
        <xdr:cNvSpPr txBox="1"/>
      </xdr:nvSpPr>
      <xdr:spPr>
        <a:xfrm>
          <a:off x="13315950" y="75295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23</xdr:row>
      <xdr:rowOff>100012</xdr:rowOff>
    </xdr:from>
    <xdr:ext cx="65" cy="172227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F181B37C-0B48-4DC5-821A-7362DA03D484}"/>
            </a:ext>
          </a:extLst>
        </xdr:cNvPr>
        <xdr:cNvSpPr txBox="1"/>
      </xdr:nvSpPr>
      <xdr:spPr>
        <a:xfrm>
          <a:off x="13315950" y="75295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26</xdr:row>
      <xdr:rowOff>100012</xdr:rowOff>
    </xdr:from>
    <xdr:ext cx="65" cy="172227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A807F0DE-0056-458A-AC9F-CB0B0E2379EF}"/>
            </a:ext>
          </a:extLst>
        </xdr:cNvPr>
        <xdr:cNvSpPr txBox="1"/>
      </xdr:nvSpPr>
      <xdr:spPr>
        <a:xfrm>
          <a:off x="13315950" y="846677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26</xdr:row>
      <xdr:rowOff>100012</xdr:rowOff>
    </xdr:from>
    <xdr:ext cx="65" cy="172227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33FCD58C-59C1-445C-BF30-B0F71DC11DF0}"/>
            </a:ext>
          </a:extLst>
        </xdr:cNvPr>
        <xdr:cNvSpPr txBox="1"/>
      </xdr:nvSpPr>
      <xdr:spPr>
        <a:xfrm>
          <a:off x="13315950" y="846677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11</xdr:row>
      <xdr:rowOff>100012</xdr:rowOff>
    </xdr:from>
    <xdr:ext cx="65" cy="172227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E1AB6304-9025-42CC-8F50-765606529711}"/>
            </a:ext>
          </a:extLst>
        </xdr:cNvPr>
        <xdr:cNvSpPr txBox="1"/>
      </xdr:nvSpPr>
      <xdr:spPr>
        <a:xfrm>
          <a:off x="13315950" y="33385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11</xdr:row>
      <xdr:rowOff>100012</xdr:rowOff>
    </xdr:from>
    <xdr:ext cx="65" cy="172227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4537F764-E58A-4A21-B049-22541D5DA22C}"/>
            </a:ext>
          </a:extLst>
        </xdr:cNvPr>
        <xdr:cNvSpPr txBox="1"/>
      </xdr:nvSpPr>
      <xdr:spPr>
        <a:xfrm>
          <a:off x="13315950" y="33385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13</xdr:row>
      <xdr:rowOff>100012</xdr:rowOff>
    </xdr:from>
    <xdr:ext cx="65" cy="172227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C5A6839A-B69B-4342-A59D-7FB073738473}"/>
            </a:ext>
          </a:extLst>
        </xdr:cNvPr>
        <xdr:cNvSpPr txBox="1"/>
      </xdr:nvSpPr>
      <xdr:spPr>
        <a:xfrm>
          <a:off x="13315950" y="4024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13</xdr:row>
      <xdr:rowOff>100012</xdr:rowOff>
    </xdr:from>
    <xdr:ext cx="65" cy="172227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CE3D20D9-835E-451E-8D9C-79DCE8A2DA6A}"/>
            </a:ext>
          </a:extLst>
        </xdr:cNvPr>
        <xdr:cNvSpPr txBox="1"/>
      </xdr:nvSpPr>
      <xdr:spPr>
        <a:xfrm>
          <a:off x="13315950" y="4024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14</xdr:row>
      <xdr:rowOff>0</xdr:rowOff>
    </xdr:from>
    <xdr:ext cx="65" cy="172227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CDA91E57-0A7C-40ED-A668-4B72EB3FF98E}"/>
            </a:ext>
          </a:extLst>
        </xdr:cNvPr>
        <xdr:cNvSpPr txBox="1"/>
      </xdr:nvSpPr>
      <xdr:spPr>
        <a:xfrm>
          <a:off x="13315950" y="4267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  <xdr:oneCellAnchor>
    <xdr:from>
      <xdr:col>8</xdr:col>
      <xdr:colOff>171450</xdr:colOff>
      <xdr:row>14</xdr:row>
      <xdr:rowOff>0</xdr:rowOff>
    </xdr:from>
    <xdr:ext cx="65" cy="172227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D3DCE751-7B4B-4276-97F9-4C6F0EC178CC}"/>
            </a:ext>
          </a:extLst>
        </xdr:cNvPr>
        <xdr:cNvSpPr txBox="1"/>
      </xdr:nvSpPr>
      <xdr:spPr>
        <a:xfrm>
          <a:off x="13315950" y="4267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>
            <a:latin typeface="Candara" panose="020E0502030303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7634D-72B0-4FAB-8487-82302A0C63E6}">
  <sheetPr>
    <pageSetUpPr fitToPage="1"/>
  </sheetPr>
  <dimension ref="A2:M88"/>
  <sheetViews>
    <sheetView showGridLines="0" tabSelected="1" zoomScale="80" zoomScaleNormal="80" workbookViewId="0">
      <selection activeCell="A85" sqref="A1:K85"/>
    </sheetView>
  </sheetViews>
  <sheetFormatPr baseColWidth="10" defaultRowHeight="15" x14ac:dyDescent="0.25"/>
  <cols>
    <col min="2" max="2" width="20.140625" customWidth="1"/>
    <col min="3" max="3" width="27.85546875" customWidth="1"/>
    <col min="4" max="4" width="27.42578125" customWidth="1"/>
    <col min="5" max="5" width="34.42578125" customWidth="1"/>
    <col min="6" max="6" width="18.5703125" style="6" customWidth="1"/>
    <col min="7" max="7" width="18.28515625" style="6" customWidth="1"/>
    <col min="8" max="8" width="33.28515625" style="4" customWidth="1"/>
    <col min="9" max="9" width="13.85546875" customWidth="1"/>
    <col min="10" max="10" width="16.140625" customWidth="1"/>
    <col min="11" max="11" width="57.140625" customWidth="1"/>
    <col min="12" max="12" width="27.28515625" customWidth="1"/>
  </cols>
  <sheetData>
    <row r="2" spans="1:13" ht="13.9" customHeight="1" x14ac:dyDescent="0.25"/>
    <row r="3" spans="1:13" ht="13.9" customHeight="1" x14ac:dyDescent="0.25"/>
    <row r="4" spans="1:13" ht="13.9" customHeight="1" x14ac:dyDescent="0.25"/>
    <row r="5" spans="1:13" ht="36" customHeight="1" x14ac:dyDescent="0.25">
      <c r="B5" s="44" t="s">
        <v>206</v>
      </c>
      <c r="C5" s="45"/>
      <c r="D5" s="45"/>
      <c r="E5" s="45"/>
      <c r="F5" s="45"/>
      <c r="G5" s="45"/>
      <c r="H5" s="45"/>
      <c r="I5" s="45"/>
      <c r="J5" s="45"/>
      <c r="K5" s="46"/>
      <c r="L5" s="9"/>
    </row>
    <row r="6" spans="1:13" ht="27" customHeight="1" x14ac:dyDescent="0.25">
      <c r="B6" s="1" t="s">
        <v>33</v>
      </c>
      <c r="C6" s="1" t="s">
        <v>121</v>
      </c>
      <c r="D6" s="1" t="s">
        <v>0</v>
      </c>
      <c r="E6" s="1" t="s">
        <v>1</v>
      </c>
      <c r="F6" s="1" t="s">
        <v>113</v>
      </c>
      <c r="G6" s="1" t="s">
        <v>114</v>
      </c>
      <c r="H6" s="8" t="s">
        <v>34</v>
      </c>
      <c r="I6" s="41" t="s">
        <v>35</v>
      </c>
      <c r="J6" s="41"/>
      <c r="K6" s="41"/>
      <c r="L6" s="10"/>
    </row>
    <row r="7" spans="1:13" ht="27" customHeight="1" x14ac:dyDescent="0.25">
      <c r="A7">
        <v>1</v>
      </c>
      <c r="B7" s="31" t="s">
        <v>2</v>
      </c>
      <c r="C7" s="38" t="s">
        <v>36</v>
      </c>
      <c r="D7" s="13" t="s">
        <v>46</v>
      </c>
      <c r="E7" s="56" t="s">
        <v>38</v>
      </c>
      <c r="F7" s="14">
        <v>53</v>
      </c>
      <c r="G7" s="14">
        <v>47</v>
      </c>
      <c r="H7" s="15" t="s">
        <v>49</v>
      </c>
      <c r="I7" s="34"/>
      <c r="J7" s="34"/>
      <c r="K7" s="34"/>
      <c r="L7" s="11"/>
    </row>
    <row r="8" spans="1:13" ht="27" customHeight="1" x14ac:dyDescent="0.25">
      <c r="A8">
        <v>2</v>
      </c>
      <c r="B8" s="32"/>
      <c r="C8" s="39"/>
      <c r="D8" s="13" t="s">
        <v>107</v>
      </c>
      <c r="E8" s="56" t="s">
        <v>75</v>
      </c>
      <c r="F8" s="14" t="s">
        <v>6</v>
      </c>
      <c r="G8" s="14" t="s">
        <v>6</v>
      </c>
      <c r="H8" s="15" t="s">
        <v>76</v>
      </c>
      <c r="I8" s="35" t="s">
        <v>40</v>
      </c>
      <c r="J8" s="36"/>
      <c r="K8" s="37"/>
      <c r="L8" s="11"/>
    </row>
    <row r="9" spans="1:13" ht="27" customHeight="1" x14ac:dyDescent="0.25">
      <c r="A9">
        <v>3</v>
      </c>
      <c r="B9" s="32"/>
      <c r="C9" s="40"/>
      <c r="D9" s="13" t="s">
        <v>107</v>
      </c>
      <c r="E9" s="56" t="s">
        <v>74</v>
      </c>
      <c r="F9" s="14" t="s">
        <v>6</v>
      </c>
      <c r="G9" s="14" t="s">
        <v>6</v>
      </c>
      <c r="H9" s="15" t="s">
        <v>77</v>
      </c>
      <c r="I9" s="35" t="s">
        <v>40</v>
      </c>
      <c r="J9" s="36"/>
      <c r="K9" s="37"/>
      <c r="L9" s="11"/>
    </row>
    <row r="10" spans="1:13" ht="28.15" customHeight="1" x14ac:dyDescent="0.25">
      <c r="A10">
        <v>4</v>
      </c>
      <c r="B10" s="32"/>
      <c r="C10" s="13" t="s">
        <v>45</v>
      </c>
      <c r="D10" s="13" t="s">
        <v>3</v>
      </c>
      <c r="E10" s="56" t="s">
        <v>37</v>
      </c>
      <c r="F10" s="14">
        <v>36</v>
      </c>
      <c r="G10" s="14">
        <v>21</v>
      </c>
      <c r="H10" s="15" t="s">
        <v>4</v>
      </c>
      <c r="I10" s="34"/>
      <c r="J10" s="34"/>
      <c r="K10" s="34"/>
      <c r="L10" s="11"/>
      <c r="M10" t="e">
        <f>AVERAGE(H7:H12)</f>
        <v>#DIV/0!</v>
      </c>
    </row>
    <row r="11" spans="1:13" ht="27" customHeight="1" x14ac:dyDescent="0.25">
      <c r="A11">
        <v>5</v>
      </c>
      <c r="B11" s="32"/>
      <c r="C11" s="13" t="s">
        <v>65</v>
      </c>
      <c r="D11" s="13" t="s">
        <v>69</v>
      </c>
      <c r="E11" s="56" t="s">
        <v>66</v>
      </c>
      <c r="F11" s="14">
        <v>49</v>
      </c>
      <c r="G11" s="14">
        <v>46</v>
      </c>
      <c r="H11" s="15" t="s">
        <v>129</v>
      </c>
      <c r="I11" s="34"/>
      <c r="J11" s="34"/>
      <c r="K11" s="34"/>
      <c r="L11" s="11"/>
    </row>
    <row r="12" spans="1:13" ht="27" customHeight="1" x14ac:dyDescent="0.25">
      <c r="A12">
        <v>6</v>
      </c>
      <c r="B12" s="32"/>
      <c r="C12" s="13" t="s">
        <v>70</v>
      </c>
      <c r="D12" s="13" t="s">
        <v>69</v>
      </c>
      <c r="E12" s="56" t="s">
        <v>99</v>
      </c>
      <c r="F12" s="14">
        <v>94</v>
      </c>
      <c r="G12" s="14">
        <v>87</v>
      </c>
      <c r="H12" s="15" t="s">
        <v>71</v>
      </c>
      <c r="I12" s="34"/>
      <c r="J12" s="34"/>
      <c r="K12" s="34"/>
      <c r="L12" s="11"/>
    </row>
    <row r="13" spans="1:13" ht="27" customHeight="1" x14ac:dyDescent="0.25">
      <c r="A13">
        <v>7</v>
      </c>
      <c r="B13" s="32"/>
      <c r="C13" s="13" t="s">
        <v>122</v>
      </c>
      <c r="D13" s="13" t="s">
        <v>107</v>
      </c>
      <c r="E13" s="56" t="s">
        <v>123</v>
      </c>
      <c r="F13" s="14" t="s">
        <v>116</v>
      </c>
      <c r="G13" s="14" t="s">
        <v>116</v>
      </c>
      <c r="H13" s="20" t="s">
        <v>125</v>
      </c>
      <c r="I13" s="35" t="s">
        <v>131</v>
      </c>
      <c r="J13" s="36"/>
      <c r="K13" s="37"/>
      <c r="L13" s="11"/>
    </row>
    <row r="14" spans="1:13" ht="27" customHeight="1" x14ac:dyDescent="0.25">
      <c r="A14">
        <v>8</v>
      </c>
      <c r="B14" s="32"/>
      <c r="C14" s="13" t="s">
        <v>122</v>
      </c>
      <c r="D14" s="13" t="s">
        <v>107</v>
      </c>
      <c r="E14" s="56" t="s">
        <v>124</v>
      </c>
      <c r="F14" s="14" t="s">
        <v>116</v>
      </c>
      <c r="G14" s="14" t="s">
        <v>116</v>
      </c>
      <c r="H14" s="15" t="s">
        <v>132</v>
      </c>
      <c r="I14" s="35" t="s">
        <v>131</v>
      </c>
      <c r="J14" s="36"/>
      <c r="K14" s="37"/>
      <c r="L14" s="11"/>
    </row>
    <row r="15" spans="1:13" ht="27" customHeight="1" x14ac:dyDescent="0.25">
      <c r="A15">
        <v>9</v>
      </c>
      <c r="B15" s="31" t="s">
        <v>5</v>
      </c>
      <c r="C15" s="13" t="s">
        <v>62</v>
      </c>
      <c r="D15" s="13" t="s">
        <v>7</v>
      </c>
      <c r="E15" s="56" t="s">
        <v>38</v>
      </c>
      <c r="F15" s="14">
        <v>53</v>
      </c>
      <c r="G15" s="14">
        <v>47</v>
      </c>
      <c r="H15" s="15" t="s">
        <v>8</v>
      </c>
      <c r="I15" s="34"/>
      <c r="J15" s="34"/>
      <c r="K15" s="34"/>
      <c r="L15" s="11"/>
    </row>
    <row r="16" spans="1:13" ht="26.25" customHeight="1" x14ac:dyDescent="0.25">
      <c r="A16">
        <v>10</v>
      </c>
      <c r="B16" s="33"/>
      <c r="C16" s="13" t="s">
        <v>63</v>
      </c>
      <c r="D16" s="13" t="s">
        <v>7</v>
      </c>
      <c r="E16" s="56" t="s">
        <v>72</v>
      </c>
      <c r="F16" s="14">
        <v>94</v>
      </c>
      <c r="G16" s="14">
        <v>87</v>
      </c>
      <c r="H16" s="15" t="s">
        <v>64</v>
      </c>
      <c r="I16" s="34"/>
      <c r="J16" s="34"/>
      <c r="K16" s="34"/>
      <c r="L16" s="11"/>
    </row>
    <row r="17" spans="1:13" ht="25.15" customHeight="1" x14ac:dyDescent="0.25">
      <c r="A17">
        <v>11</v>
      </c>
      <c r="B17" s="31" t="s">
        <v>9</v>
      </c>
      <c r="C17" s="13" t="s">
        <v>10</v>
      </c>
      <c r="D17" s="13" t="s">
        <v>57</v>
      </c>
      <c r="E17" s="56" t="s">
        <v>11</v>
      </c>
      <c r="F17" s="14">
        <v>81</v>
      </c>
      <c r="G17" s="14">
        <v>70</v>
      </c>
      <c r="H17" s="15" t="s">
        <v>12</v>
      </c>
      <c r="I17" s="34"/>
      <c r="J17" s="34"/>
      <c r="K17" s="34"/>
      <c r="L17" s="11"/>
    </row>
    <row r="18" spans="1:13" ht="25.15" customHeight="1" x14ac:dyDescent="0.25">
      <c r="A18">
        <v>12</v>
      </c>
      <c r="B18" s="32"/>
      <c r="C18" s="13" t="s">
        <v>10</v>
      </c>
      <c r="D18" s="13" t="s">
        <v>86</v>
      </c>
      <c r="E18" s="56" t="s">
        <v>82</v>
      </c>
      <c r="F18" s="14">
        <v>21.8</v>
      </c>
      <c r="G18" s="14">
        <v>21</v>
      </c>
      <c r="H18" s="15" t="s">
        <v>133</v>
      </c>
      <c r="I18" s="35"/>
      <c r="J18" s="36"/>
      <c r="K18" s="37"/>
      <c r="L18" s="11"/>
    </row>
    <row r="19" spans="1:13" ht="25.15" customHeight="1" x14ac:dyDescent="0.25">
      <c r="A19">
        <v>13</v>
      </c>
      <c r="B19" s="32"/>
      <c r="C19" s="13" t="s">
        <v>10</v>
      </c>
      <c r="D19" s="13" t="s">
        <v>86</v>
      </c>
      <c r="E19" s="56" t="s">
        <v>93</v>
      </c>
      <c r="F19" s="14">
        <v>30</v>
      </c>
      <c r="G19" s="14">
        <v>30</v>
      </c>
      <c r="H19" s="15" t="s">
        <v>94</v>
      </c>
      <c r="I19" s="35"/>
      <c r="J19" s="36"/>
      <c r="K19" s="37"/>
      <c r="L19" s="11"/>
    </row>
    <row r="20" spans="1:13" ht="24" customHeight="1" x14ac:dyDescent="0.25">
      <c r="A20">
        <v>14</v>
      </c>
      <c r="B20" s="32"/>
      <c r="C20" s="13" t="s">
        <v>10</v>
      </c>
      <c r="D20" s="13" t="s">
        <v>150</v>
      </c>
      <c r="E20" s="56" t="s">
        <v>92</v>
      </c>
      <c r="F20" s="14">
        <v>57.8</v>
      </c>
      <c r="G20" s="14">
        <v>62.2</v>
      </c>
      <c r="H20" s="15" t="s">
        <v>134</v>
      </c>
      <c r="I20" s="35"/>
      <c r="J20" s="36"/>
      <c r="K20" s="37"/>
      <c r="L20" s="11"/>
    </row>
    <row r="21" spans="1:13" ht="27" customHeight="1" x14ac:dyDescent="0.25">
      <c r="A21">
        <v>15</v>
      </c>
      <c r="B21" s="32"/>
      <c r="C21" s="13" t="s">
        <v>24</v>
      </c>
      <c r="D21" s="13" t="s">
        <v>6</v>
      </c>
      <c r="E21" s="56" t="s">
        <v>60</v>
      </c>
      <c r="F21" s="14">
        <v>150</v>
      </c>
      <c r="G21" s="14">
        <v>150</v>
      </c>
      <c r="H21" s="15" t="s">
        <v>61</v>
      </c>
      <c r="I21" s="34" t="s">
        <v>40</v>
      </c>
      <c r="J21" s="34"/>
      <c r="K21" s="34"/>
      <c r="L21" s="11"/>
    </row>
    <row r="22" spans="1:13" ht="35.25" customHeight="1" x14ac:dyDescent="0.25">
      <c r="A22">
        <v>16</v>
      </c>
      <c r="B22" s="32"/>
      <c r="C22" s="13" t="s">
        <v>24</v>
      </c>
      <c r="D22" s="13" t="s">
        <v>6</v>
      </c>
      <c r="E22" s="56" t="s">
        <v>156</v>
      </c>
      <c r="F22" s="14">
        <v>17</v>
      </c>
      <c r="G22" s="14">
        <v>25</v>
      </c>
      <c r="H22" s="15" t="s">
        <v>182</v>
      </c>
      <c r="I22" s="53" t="s">
        <v>201</v>
      </c>
      <c r="J22" s="48"/>
      <c r="K22" s="49"/>
      <c r="L22" s="11"/>
    </row>
    <row r="23" spans="1:13" ht="35.25" customHeight="1" x14ac:dyDescent="0.25">
      <c r="A23">
        <v>17</v>
      </c>
      <c r="B23" s="32"/>
      <c r="C23" s="13" t="s">
        <v>24</v>
      </c>
      <c r="D23" s="13" t="s">
        <v>6</v>
      </c>
      <c r="E23" s="56" t="s">
        <v>180</v>
      </c>
      <c r="F23" s="14">
        <v>17</v>
      </c>
      <c r="G23" s="14">
        <v>25</v>
      </c>
      <c r="H23" s="15" t="s">
        <v>181</v>
      </c>
      <c r="I23" s="50"/>
      <c r="J23" s="51"/>
      <c r="K23" s="52"/>
      <c r="L23" s="11"/>
    </row>
    <row r="24" spans="1:13" ht="24" customHeight="1" x14ac:dyDescent="0.25">
      <c r="A24">
        <v>18</v>
      </c>
      <c r="B24" s="32"/>
      <c r="C24" s="13" t="s">
        <v>67</v>
      </c>
      <c r="D24" s="13" t="s">
        <v>6</v>
      </c>
      <c r="E24" s="56" t="s">
        <v>68</v>
      </c>
      <c r="F24" s="14">
        <v>15.3</v>
      </c>
      <c r="G24" s="14">
        <v>16.2</v>
      </c>
      <c r="H24" s="15" t="s">
        <v>111</v>
      </c>
      <c r="I24" s="34"/>
      <c r="J24" s="34"/>
      <c r="K24" s="34"/>
      <c r="L24" s="11"/>
      <c r="M24" t="s">
        <v>147</v>
      </c>
    </row>
    <row r="25" spans="1:13" ht="24" customHeight="1" x14ac:dyDescent="0.25">
      <c r="A25">
        <v>19</v>
      </c>
      <c r="B25" s="32"/>
      <c r="C25" s="13" t="s">
        <v>58</v>
      </c>
      <c r="D25" s="13" t="s">
        <v>6</v>
      </c>
      <c r="E25" s="56" t="s">
        <v>84</v>
      </c>
      <c r="F25" s="14">
        <v>26</v>
      </c>
      <c r="G25" s="14">
        <v>34</v>
      </c>
      <c r="H25" s="21" t="s">
        <v>85</v>
      </c>
      <c r="I25" s="35" t="s">
        <v>112</v>
      </c>
      <c r="J25" s="36"/>
      <c r="K25" s="37"/>
      <c r="L25" s="11"/>
    </row>
    <row r="26" spans="1:13" ht="26.25" customHeight="1" x14ac:dyDescent="0.25">
      <c r="A26">
        <v>20</v>
      </c>
      <c r="B26" s="33"/>
      <c r="C26" s="13" t="s">
        <v>58</v>
      </c>
      <c r="D26" s="13" t="s">
        <v>6</v>
      </c>
      <c r="E26" s="56" t="s">
        <v>59</v>
      </c>
      <c r="F26" s="14">
        <v>69</v>
      </c>
      <c r="G26" s="14">
        <v>46</v>
      </c>
      <c r="H26" s="15" t="s">
        <v>103</v>
      </c>
      <c r="I26" s="35"/>
      <c r="J26" s="36"/>
      <c r="K26" s="37"/>
      <c r="L26" s="11"/>
    </row>
    <row r="27" spans="1:13" ht="26.25" customHeight="1" x14ac:dyDescent="0.25">
      <c r="A27">
        <v>21</v>
      </c>
      <c r="B27" s="31" t="s">
        <v>39</v>
      </c>
      <c r="C27" s="13" t="s">
        <v>6</v>
      </c>
      <c r="D27" s="13" t="s">
        <v>6</v>
      </c>
      <c r="E27" s="56" t="s">
        <v>82</v>
      </c>
      <c r="F27" s="14">
        <v>21.8</v>
      </c>
      <c r="G27" s="14">
        <v>21</v>
      </c>
      <c r="H27" s="15" t="s">
        <v>83</v>
      </c>
      <c r="I27" s="34"/>
      <c r="J27" s="34"/>
      <c r="K27" s="34"/>
      <c r="L27" s="11"/>
    </row>
    <row r="28" spans="1:13" ht="26.25" customHeight="1" x14ac:dyDescent="0.25">
      <c r="A28">
        <v>22</v>
      </c>
      <c r="B28" s="32"/>
      <c r="C28" s="13" t="s">
        <v>6</v>
      </c>
      <c r="D28" s="13" t="s">
        <v>6</v>
      </c>
      <c r="E28" s="56" t="s">
        <v>115</v>
      </c>
      <c r="F28" s="14">
        <v>49.7</v>
      </c>
      <c r="G28" s="14">
        <v>97</v>
      </c>
      <c r="H28" s="15" t="s">
        <v>13</v>
      </c>
      <c r="I28" s="34"/>
      <c r="J28" s="34"/>
      <c r="K28" s="34"/>
      <c r="L28" s="11"/>
    </row>
    <row r="29" spans="1:13" ht="26.25" customHeight="1" x14ac:dyDescent="0.25">
      <c r="A29">
        <v>23</v>
      </c>
      <c r="B29" s="32"/>
      <c r="C29" s="13" t="s">
        <v>6</v>
      </c>
      <c r="D29" s="13" t="s">
        <v>6</v>
      </c>
      <c r="E29" s="56" t="s">
        <v>157</v>
      </c>
      <c r="F29" s="14">
        <v>85</v>
      </c>
      <c r="G29" s="14">
        <v>62</v>
      </c>
      <c r="H29" s="15" t="s">
        <v>158</v>
      </c>
      <c r="I29" s="54"/>
      <c r="J29" s="54"/>
      <c r="K29" s="54"/>
      <c r="L29" s="11"/>
    </row>
    <row r="30" spans="1:13" ht="26.25" customHeight="1" x14ac:dyDescent="0.25">
      <c r="A30">
        <v>24</v>
      </c>
      <c r="B30" s="32"/>
      <c r="C30" s="13" t="s">
        <v>6</v>
      </c>
      <c r="D30" s="13" t="s">
        <v>6</v>
      </c>
      <c r="E30" s="56" t="s">
        <v>159</v>
      </c>
      <c r="F30" s="14">
        <v>180</v>
      </c>
      <c r="G30" s="14">
        <v>180</v>
      </c>
      <c r="H30" s="15" t="s">
        <v>162</v>
      </c>
      <c r="I30" s="35" t="s">
        <v>112</v>
      </c>
      <c r="J30" s="36"/>
      <c r="K30" s="37"/>
      <c r="L30" s="11"/>
    </row>
    <row r="31" spans="1:13" ht="32.25" customHeight="1" x14ac:dyDescent="0.25">
      <c r="A31">
        <v>25</v>
      </c>
      <c r="B31" s="32"/>
      <c r="C31" s="13" t="s">
        <v>6</v>
      </c>
      <c r="D31" s="13" t="s">
        <v>6</v>
      </c>
      <c r="E31" s="56" t="s">
        <v>160</v>
      </c>
      <c r="F31" s="14">
        <v>30</v>
      </c>
      <c r="G31" s="14">
        <v>23</v>
      </c>
      <c r="H31" s="15" t="s">
        <v>161</v>
      </c>
      <c r="I31" s="55" t="s">
        <v>204</v>
      </c>
      <c r="J31" s="55"/>
      <c r="K31" s="55"/>
      <c r="L31" s="11"/>
    </row>
    <row r="32" spans="1:13" ht="25.5" customHeight="1" x14ac:dyDescent="0.25">
      <c r="A32">
        <v>26</v>
      </c>
      <c r="B32" s="31" t="s">
        <v>50</v>
      </c>
      <c r="C32" s="13" t="s">
        <v>6</v>
      </c>
      <c r="D32" s="13" t="s">
        <v>6</v>
      </c>
      <c r="E32" s="56" t="s">
        <v>81</v>
      </c>
      <c r="F32" s="14">
        <v>110.6</v>
      </c>
      <c r="G32" s="14">
        <v>65</v>
      </c>
      <c r="H32" s="15" t="s">
        <v>135</v>
      </c>
      <c r="I32" s="54" t="s">
        <v>205</v>
      </c>
      <c r="J32" s="54"/>
      <c r="K32" s="54"/>
      <c r="L32" s="11"/>
      <c r="M32" t="s">
        <v>147</v>
      </c>
    </row>
    <row r="33" spans="1:12" ht="25.5" customHeight="1" x14ac:dyDescent="0.25">
      <c r="A33">
        <v>27</v>
      </c>
      <c r="B33" s="33"/>
      <c r="C33" s="13" t="s">
        <v>6</v>
      </c>
      <c r="D33" s="13" t="s">
        <v>6</v>
      </c>
      <c r="E33" s="56" t="s">
        <v>14</v>
      </c>
      <c r="F33" s="14">
        <v>56</v>
      </c>
      <c r="G33" s="14">
        <v>53</v>
      </c>
      <c r="H33" s="21" t="s">
        <v>146</v>
      </c>
      <c r="I33" s="54"/>
      <c r="J33" s="54"/>
      <c r="K33" s="54"/>
      <c r="L33" s="11"/>
    </row>
    <row r="34" spans="1:12" ht="25.5" customHeight="1" x14ac:dyDescent="0.25">
      <c r="A34">
        <v>28</v>
      </c>
      <c r="B34" s="31" t="s">
        <v>15</v>
      </c>
      <c r="C34" s="13" t="s">
        <v>6</v>
      </c>
      <c r="D34" s="13" t="s">
        <v>6</v>
      </c>
      <c r="E34" s="56" t="s">
        <v>16</v>
      </c>
      <c r="F34" s="14">
        <v>94</v>
      </c>
      <c r="G34" s="14">
        <v>87</v>
      </c>
      <c r="H34" s="21" t="s">
        <v>126</v>
      </c>
      <c r="I34" s="16"/>
      <c r="J34" s="17"/>
      <c r="K34" s="18"/>
      <c r="L34" s="11"/>
    </row>
    <row r="35" spans="1:12" ht="25.5" customHeight="1" x14ac:dyDescent="0.25">
      <c r="A35">
        <v>29</v>
      </c>
      <c r="B35" s="32"/>
      <c r="C35" s="13" t="s">
        <v>6</v>
      </c>
      <c r="D35" s="13" t="s">
        <v>6</v>
      </c>
      <c r="E35" s="56" t="s">
        <v>127</v>
      </c>
      <c r="F35" s="14">
        <v>57</v>
      </c>
      <c r="G35" s="14">
        <v>62</v>
      </c>
      <c r="H35" s="21" t="s">
        <v>128</v>
      </c>
      <c r="I35" s="16"/>
      <c r="J35" s="17"/>
      <c r="K35" s="18"/>
      <c r="L35" s="11"/>
    </row>
    <row r="36" spans="1:12" ht="25.5" customHeight="1" x14ac:dyDescent="0.25">
      <c r="A36">
        <v>30</v>
      </c>
      <c r="B36" s="32"/>
      <c r="C36" s="13" t="s">
        <v>6</v>
      </c>
      <c r="D36" s="13" t="s">
        <v>6</v>
      </c>
      <c r="E36" s="56" t="s">
        <v>136</v>
      </c>
      <c r="F36" s="14">
        <v>30</v>
      </c>
      <c r="G36" s="14">
        <v>30</v>
      </c>
      <c r="H36" s="21" t="s">
        <v>89</v>
      </c>
      <c r="I36" s="35"/>
      <c r="J36" s="36"/>
      <c r="K36" s="37"/>
      <c r="L36" s="11"/>
    </row>
    <row r="37" spans="1:12" ht="27" customHeight="1" x14ac:dyDescent="0.25">
      <c r="A37">
        <v>31</v>
      </c>
      <c r="B37" s="33"/>
      <c r="C37" s="13" t="s">
        <v>6</v>
      </c>
      <c r="D37" s="13" t="s">
        <v>6</v>
      </c>
      <c r="E37" s="56" t="s">
        <v>119</v>
      </c>
      <c r="F37" s="14">
        <v>100</v>
      </c>
      <c r="G37" s="14">
        <v>198.6</v>
      </c>
      <c r="H37" s="15" t="s">
        <v>118</v>
      </c>
      <c r="I37" s="34"/>
      <c r="J37" s="34"/>
      <c r="K37" s="34"/>
      <c r="L37" s="11"/>
    </row>
    <row r="38" spans="1:12" ht="27" customHeight="1" x14ac:dyDescent="0.25">
      <c r="A38">
        <v>32</v>
      </c>
      <c r="B38" s="31" t="s">
        <v>17</v>
      </c>
      <c r="C38" s="13" t="s">
        <v>6</v>
      </c>
      <c r="D38" s="13" t="s">
        <v>6</v>
      </c>
      <c r="E38" s="56" t="s">
        <v>18</v>
      </c>
      <c r="F38" s="14">
        <v>77</v>
      </c>
      <c r="G38" s="14">
        <v>204</v>
      </c>
      <c r="H38" s="15" t="s">
        <v>21</v>
      </c>
      <c r="I38" s="34" t="s">
        <v>40</v>
      </c>
      <c r="J38" s="34"/>
      <c r="K38" s="34"/>
      <c r="L38" s="11"/>
    </row>
    <row r="39" spans="1:12" ht="27" customHeight="1" x14ac:dyDescent="0.25">
      <c r="A39">
        <v>33</v>
      </c>
      <c r="B39" s="32"/>
      <c r="C39" s="13" t="s">
        <v>6</v>
      </c>
      <c r="D39" s="13" t="s">
        <v>6</v>
      </c>
      <c r="E39" s="56" t="s">
        <v>80</v>
      </c>
      <c r="F39" s="14">
        <v>70</v>
      </c>
      <c r="G39" s="14">
        <v>70</v>
      </c>
      <c r="H39" s="15" t="s">
        <v>140</v>
      </c>
      <c r="I39" s="34" t="s">
        <v>40</v>
      </c>
      <c r="J39" s="34"/>
      <c r="K39" s="34"/>
      <c r="L39" s="11"/>
    </row>
    <row r="40" spans="1:12" ht="27" customHeight="1" x14ac:dyDescent="0.25">
      <c r="A40">
        <v>34</v>
      </c>
      <c r="B40" s="32"/>
      <c r="C40" s="13" t="s">
        <v>6</v>
      </c>
      <c r="D40" s="13" t="s">
        <v>6</v>
      </c>
      <c r="E40" s="56" t="s">
        <v>138</v>
      </c>
      <c r="F40" s="14">
        <v>100</v>
      </c>
      <c r="G40" s="14">
        <v>223</v>
      </c>
      <c r="H40" s="15" t="s">
        <v>130</v>
      </c>
      <c r="I40" s="34" t="s">
        <v>40</v>
      </c>
      <c r="J40" s="34"/>
      <c r="K40" s="34"/>
      <c r="L40" s="11"/>
    </row>
    <row r="41" spans="1:12" ht="27" customHeight="1" x14ac:dyDescent="0.25">
      <c r="A41">
        <v>35</v>
      </c>
      <c r="B41" s="32"/>
      <c r="C41" s="13" t="s">
        <v>6</v>
      </c>
      <c r="D41" s="13" t="s">
        <v>199</v>
      </c>
      <c r="E41" s="56" t="s">
        <v>198</v>
      </c>
      <c r="F41" s="14" t="s">
        <v>107</v>
      </c>
      <c r="G41" s="14" t="s">
        <v>107</v>
      </c>
      <c r="H41" s="15" t="s">
        <v>200</v>
      </c>
      <c r="I41" s="61" t="s">
        <v>203</v>
      </c>
      <c r="J41" s="62"/>
      <c r="K41" s="63"/>
      <c r="L41" s="11"/>
    </row>
    <row r="42" spans="1:12" ht="33.75" customHeight="1" x14ac:dyDescent="0.25">
      <c r="A42">
        <v>36</v>
      </c>
      <c r="B42" s="33"/>
      <c r="C42" s="13" t="s">
        <v>6</v>
      </c>
      <c r="D42" s="13" t="s">
        <v>6</v>
      </c>
      <c r="E42" s="56" t="s">
        <v>137</v>
      </c>
      <c r="F42" s="14">
        <v>100</v>
      </c>
      <c r="G42" s="14">
        <v>180</v>
      </c>
      <c r="H42" s="15" t="s">
        <v>139</v>
      </c>
      <c r="I42" s="34" t="s">
        <v>40</v>
      </c>
      <c r="J42" s="34"/>
      <c r="K42" s="34"/>
      <c r="L42" s="11"/>
    </row>
    <row r="43" spans="1:12" ht="33.75" customHeight="1" x14ac:dyDescent="0.25">
      <c r="A43">
        <v>37</v>
      </c>
      <c r="B43" s="31" t="s">
        <v>41</v>
      </c>
      <c r="C43" s="13" t="s">
        <v>6</v>
      </c>
      <c r="D43" s="13" t="s">
        <v>6</v>
      </c>
      <c r="E43" s="56" t="s">
        <v>79</v>
      </c>
      <c r="F43" s="14" t="s">
        <v>6</v>
      </c>
      <c r="G43" s="14" t="s">
        <v>6</v>
      </c>
      <c r="H43" s="15" t="s">
        <v>78</v>
      </c>
      <c r="I43" s="34" t="s">
        <v>40</v>
      </c>
      <c r="J43" s="34"/>
      <c r="K43" s="34"/>
      <c r="L43" s="11"/>
    </row>
    <row r="44" spans="1:12" ht="33.75" customHeight="1" x14ac:dyDescent="0.25">
      <c r="A44">
        <v>38</v>
      </c>
      <c r="B44" s="32"/>
      <c r="C44" s="13" t="s">
        <v>6</v>
      </c>
      <c r="D44" s="13" t="s">
        <v>6</v>
      </c>
      <c r="E44" s="56" t="s">
        <v>104</v>
      </c>
      <c r="F44" s="14" t="s">
        <v>6</v>
      </c>
      <c r="G44" s="14" t="s">
        <v>6</v>
      </c>
      <c r="H44" s="15" t="s">
        <v>87</v>
      </c>
      <c r="I44" s="34" t="s">
        <v>40</v>
      </c>
      <c r="J44" s="34"/>
      <c r="K44" s="34"/>
      <c r="L44" s="11"/>
    </row>
    <row r="45" spans="1:12" ht="33.75" customHeight="1" x14ac:dyDescent="0.25">
      <c r="A45">
        <v>39</v>
      </c>
      <c r="B45" s="33"/>
      <c r="C45" s="13" t="s">
        <v>6</v>
      </c>
      <c r="D45" s="13" t="s">
        <v>6</v>
      </c>
      <c r="E45" s="56" t="s">
        <v>19</v>
      </c>
      <c r="F45" s="14">
        <v>95</v>
      </c>
      <c r="G45" s="14">
        <v>63</v>
      </c>
      <c r="H45" s="15" t="s">
        <v>20</v>
      </c>
      <c r="I45" s="34"/>
      <c r="J45" s="34"/>
      <c r="K45" s="34"/>
      <c r="L45" s="11"/>
    </row>
    <row r="46" spans="1:12" ht="27" customHeight="1" x14ac:dyDescent="0.25">
      <c r="A46">
        <v>40</v>
      </c>
      <c r="B46" s="31" t="s">
        <v>22</v>
      </c>
      <c r="C46" s="38" t="s">
        <v>6</v>
      </c>
      <c r="D46" s="38" t="s">
        <v>177</v>
      </c>
      <c r="E46" s="56" t="s">
        <v>42</v>
      </c>
      <c r="F46" s="14">
        <v>99</v>
      </c>
      <c r="G46" s="14">
        <v>146</v>
      </c>
      <c r="H46" s="15" t="s">
        <v>27</v>
      </c>
      <c r="I46" s="35"/>
      <c r="J46" s="36"/>
      <c r="K46" s="37"/>
      <c r="L46" s="11"/>
    </row>
    <row r="47" spans="1:12" ht="27" customHeight="1" x14ac:dyDescent="0.25">
      <c r="A47">
        <v>41</v>
      </c>
      <c r="B47" s="32"/>
      <c r="C47" s="39"/>
      <c r="D47" s="39"/>
      <c r="E47" s="56" t="s">
        <v>55</v>
      </c>
      <c r="F47" s="14" t="s">
        <v>107</v>
      </c>
      <c r="G47" s="14" t="s">
        <v>107</v>
      </c>
      <c r="H47" s="15" t="s">
        <v>100</v>
      </c>
      <c r="I47" s="34" t="s">
        <v>107</v>
      </c>
      <c r="J47" s="34"/>
      <c r="K47" s="34"/>
      <c r="L47" s="11"/>
    </row>
    <row r="48" spans="1:12" ht="27" customHeight="1" x14ac:dyDescent="0.25">
      <c r="A48">
        <v>42</v>
      </c>
      <c r="B48" s="32"/>
      <c r="C48" s="39"/>
      <c r="D48" s="39"/>
      <c r="E48" s="57" t="s">
        <v>196</v>
      </c>
      <c r="F48" s="22">
        <v>155</v>
      </c>
      <c r="G48" s="22">
        <v>498</v>
      </c>
      <c r="H48" s="23" t="s">
        <v>197</v>
      </c>
      <c r="I48" s="35" t="s">
        <v>107</v>
      </c>
      <c r="J48" s="36"/>
      <c r="K48" s="37"/>
      <c r="L48" s="11"/>
    </row>
    <row r="49" spans="1:12" ht="27" customHeight="1" x14ac:dyDescent="0.25">
      <c r="A49">
        <v>43</v>
      </c>
      <c r="B49" s="32"/>
      <c r="C49" s="39"/>
      <c r="D49" s="39"/>
      <c r="E49" s="57" t="s">
        <v>102</v>
      </c>
      <c r="F49" s="22" t="s">
        <v>107</v>
      </c>
      <c r="G49" s="22" t="s">
        <v>107</v>
      </c>
      <c r="H49" s="23" t="s">
        <v>101</v>
      </c>
      <c r="I49" s="35" t="s">
        <v>107</v>
      </c>
      <c r="J49" s="36"/>
      <c r="K49" s="37"/>
      <c r="L49" s="11"/>
    </row>
    <row r="50" spans="1:12" ht="27" customHeight="1" x14ac:dyDescent="0.25">
      <c r="A50">
        <v>44</v>
      </c>
      <c r="B50" s="32"/>
      <c r="C50" s="39"/>
      <c r="D50" s="40"/>
      <c r="E50" s="57" t="s">
        <v>176</v>
      </c>
      <c r="F50" s="22">
        <v>165</v>
      </c>
      <c r="G50" s="22">
        <v>70</v>
      </c>
      <c r="H50" s="23" t="s">
        <v>175</v>
      </c>
      <c r="I50" s="35" t="s">
        <v>107</v>
      </c>
      <c r="J50" s="36"/>
      <c r="K50" s="37"/>
      <c r="L50" s="11"/>
    </row>
    <row r="51" spans="1:12" ht="22.9" customHeight="1" x14ac:dyDescent="0.25">
      <c r="A51">
        <v>45</v>
      </c>
      <c r="B51" s="33"/>
      <c r="C51" s="40"/>
      <c r="D51" s="19" t="s">
        <v>6</v>
      </c>
      <c r="E51" s="57" t="s">
        <v>105</v>
      </c>
      <c r="F51" s="22" t="s">
        <v>116</v>
      </c>
      <c r="G51" s="22" t="s">
        <v>116</v>
      </c>
      <c r="H51" s="23" t="s">
        <v>91</v>
      </c>
      <c r="I51" s="35" t="s">
        <v>148</v>
      </c>
      <c r="J51" s="36"/>
      <c r="K51" s="37"/>
      <c r="L51" s="11"/>
    </row>
    <row r="52" spans="1:12" ht="22.9" customHeight="1" x14ac:dyDescent="0.25">
      <c r="A52">
        <v>46</v>
      </c>
      <c r="B52" s="31" t="s">
        <v>23</v>
      </c>
      <c r="C52" s="19" t="s">
        <v>6</v>
      </c>
      <c r="D52" s="19" t="s">
        <v>6</v>
      </c>
      <c r="E52" s="56" t="s">
        <v>88</v>
      </c>
      <c r="F52" s="14">
        <v>120</v>
      </c>
      <c r="G52" s="14">
        <v>243</v>
      </c>
      <c r="H52" s="15" t="s">
        <v>90</v>
      </c>
      <c r="I52" s="35" t="s">
        <v>98</v>
      </c>
      <c r="J52" s="36"/>
      <c r="K52" s="37"/>
      <c r="L52" s="11"/>
    </row>
    <row r="53" spans="1:12" ht="22.9" customHeight="1" x14ac:dyDescent="0.25">
      <c r="A53">
        <v>47</v>
      </c>
      <c r="B53" s="32"/>
      <c r="C53" s="24" t="s">
        <v>6</v>
      </c>
      <c r="D53" s="24" t="s">
        <v>6</v>
      </c>
      <c r="E53" s="58" t="s">
        <v>152</v>
      </c>
      <c r="F53" s="13">
        <v>150</v>
      </c>
      <c r="G53" s="13">
        <v>150</v>
      </c>
      <c r="H53" s="15" t="s">
        <v>95</v>
      </c>
      <c r="I53" s="35" t="s">
        <v>98</v>
      </c>
      <c r="J53" s="36"/>
      <c r="K53" s="37"/>
      <c r="L53" s="11"/>
    </row>
    <row r="54" spans="1:12" ht="22.9" customHeight="1" x14ac:dyDescent="0.25">
      <c r="A54">
        <v>48</v>
      </c>
      <c r="B54" s="32"/>
      <c r="C54" s="13" t="s">
        <v>6</v>
      </c>
      <c r="D54" s="13" t="s">
        <v>6</v>
      </c>
      <c r="E54" s="59" t="s">
        <v>153</v>
      </c>
      <c r="F54" s="13">
        <v>61</v>
      </c>
      <c r="G54" s="13">
        <v>350</v>
      </c>
      <c r="H54" s="15" t="s">
        <v>96</v>
      </c>
      <c r="I54" s="35" t="s">
        <v>98</v>
      </c>
      <c r="J54" s="36"/>
      <c r="K54" s="37"/>
      <c r="L54" s="11"/>
    </row>
    <row r="55" spans="1:12" ht="22.9" customHeight="1" x14ac:dyDescent="0.25">
      <c r="A55">
        <v>49</v>
      </c>
      <c r="B55" s="32"/>
      <c r="C55" s="13" t="s">
        <v>6</v>
      </c>
      <c r="D55" s="13" t="s">
        <v>6</v>
      </c>
      <c r="E55" s="58" t="s">
        <v>151</v>
      </c>
      <c r="F55" s="13">
        <v>708</v>
      </c>
      <c r="G55" s="13">
        <v>163</v>
      </c>
      <c r="H55" s="15" t="s">
        <v>97</v>
      </c>
      <c r="I55" s="35" t="s">
        <v>98</v>
      </c>
      <c r="J55" s="36"/>
      <c r="K55" s="37"/>
      <c r="L55" s="11"/>
    </row>
    <row r="56" spans="1:12" ht="33.75" customHeight="1" x14ac:dyDescent="0.25">
      <c r="A56">
        <v>50</v>
      </c>
      <c r="B56" s="32"/>
      <c r="C56" s="13" t="s">
        <v>6</v>
      </c>
      <c r="D56" s="13" t="s">
        <v>6</v>
      </c>
      <c r="E56" s="60" t="s">
        <v>154</v>
      </c>
      <c r="F56" s="13" t="s">
        <v>107</v>
      </c>
      <c r="G56" s="13" t="s">
        <v>107</v>
      </c>
      <c r="H56" s="15" t="s">
        <v>120</v>
      </c>
      <c r="I56" s="35" t="s">
        <v>98</v>
      </c>
      <c r="J56" s="36"/>
      <c r="K56" s="37"/>
      <c r="L56" s="11"/>
    </row>
    <row r="57" spans="1:12" ht="32.450000000000003" customHeight="1" x14ac:dyDescent="0.25">
      <c r="A57">
        <v>51</v>
      </c>
      <c r="B57" s="32"/>
      <c r="C57" s="13" t="s">
        <v>6</v>
      </c>
      <c r="D57" s="13" t="s">
        <v>6</v>
      </c>
      <c r="E57" s="60" t="s">
        <v>117</v>
      </c>
      <c r="F57" s="13">
        <v>300</v>
      </c>
      <c r="G57" s="13">
        <v>665.9</v>
      </c>
      <c r="H57" s="15" t="s">
        <v>141</v>
      </c>
      <c r="I57" s="35" t="s">
        <v>98</v>
      </c>
      <c r="J57" s="36"/>
      <c r="K57" s="37"/>
      <c r="L57" s="11"/>
    </row>
    <row r="58" spans="1:12" ht="32.450000000000003" customHeight="1" x14ac:dyDescent="0.25">
      <c r="A58">
        <v>52</v>
      </c>
      <c r="B58" s="32"/>
      <c r="C58" s="13" t="s">
        <v>6</v>
      </c>
      <c r="D58" s="13" t="s">
        <v>6</v>
      </c>
      <c r="E58" s="56" t="s">
        <v>194</v>
      </c>
      <c r="F58" s="13">
        <v>240</v>
      </c>
      <c r="G58" s="13">
        <v>120</v>
      </c>
      <c r="H58" s="15" t="s">
        <v>195</v>
      </c>
      <c r="I58" s="61" t="s">
        <v>202</v>
      </c>
      <c r="J58" s="62"/>
      <c r="K58" s="63"/>
      <c r="L58" s="11"/>
    </row>
    <row r="59" spans="1:12" ht="21" customHeight="1" x14ac:dyDescent="0.25">
      <c r="A59">
        <v>53</v>
      </c>
      <c r="B59" s="33"/>
      <c r="C59" s="13" t="s">
        <v>6</v>
      </c>
      <c r="D59" s="13" t="s">
        <v>28</v>
      </c>
      <c r="E59" s="56" t="s">
        <v>29</v>
      </c>
      <c r="F59" s="14">
        <v>209</v>
      </c>
      <c r="G59" s="14">
        <v>223</v>
      </c>
      <c r="H59" s="15" t="s">
        <v>30</v>
      </c>
      <c r="I59" s="34"/>
      <c r="J59" s="34"/>
      <c r="K59" s="34"/>
      <c r="L59" s="11"/>
    </row>
    <row r="60" spans="1:12" ht="32.450000000000003" customHeight="1" x14ac:dyDescent="0.25">
      <c r="A60">
        <v>54</v>
      </c>
      <c r="B60" s="31" t="s">
        <v>26</v>
      </c>
      <c r="C60" s="13" t="s">
        <v>143</v>
      </c>
      <c r="D60" s="13" t="s">
        <v>6</v>
      </c>
      <c r="E60" s="56" t="s">
        <v>144</v>
      </c>
      <c r="F60" s="14" t="s">
        <v>107</v>
      </c>
      <c r="G60" s="14" t="s">
        <v>107</v>
      </c>
      <c r="H60" s="15" t="s">
        <v>145</v>
      </c>
      <c r="I60" s="35" t="s">
        <v>40</v>
      </c>
      <c r="J60" s="36"/>
      <c r="K60" s="37"/>
      <c r="L60" s="11"/>
    </row>
    <row r="61" spans="1:12" ht="30.6" customHeight="1" x14ac:dyDescent="0.25">
      <c r="A61">
        <v>55</v>
      </c>
      <c r="B61" s="32"/>
      <c r="C61" s="13" t="s">
        <v>24</v>
      </c>
      <c r="D61" s="13" t="s">
        <v>6</v>
      </c>
      <c r="E61" s="56" t="s">
        <v>109</v>
      </c>
      <c r="F61" s="14">
        <v>120</v>
      </c>
      <c r="G61" s="14">
        <v>243</v>
      </c>
      <c r="H61" s="15" t="s">
        <v>189</v>
      </c>
      <c r="I61" s="35" t="s">
        <v>40</v>
      </c>
      <c r="J61" s="36"/>
      <c r="K61" s="37"/>
      <c r="L61" s="11"/>
    </row>
    <row r="62" spans="1:12" ht="21" customHeight="1" x14ac:dyDescent="0.25">
      <c r="A62">
        <v>56</v>
      </c>
      <c r="B62" s="32"/>
      <c r="C62" s="13" t="s">
        <v>24</v>
      </c>
      <c r="D62" s="13" t="s">
        <v>6</v>
      </c>
      <c r="E62" s="56" t="s">
        <v>188</v>
      </c>
      <c r="F62" s="14">
        <v>52</v>
      </c>
      <c r="G62" s="14">
        <v>228</v>
      </c>
      <c r="H62" s="15" t="s">
        <v>108</v>
      </c>
      <c r="I62" s="34" t="s">
        <v>40</v>
      </c>
      <c r="J62" s="34"/>
      <c r="K62" s="34"/>
      <c r="L62" s="11"/>
    </row>
    <row r="63" spans="1:12" ht="30" x14ac:dyDescent="0.25">
      <c r="A63">
        <v>57</v>
      </c>
      <c r="B63" s="32"/>
      <c r="C63" s="13" t="s">
        <v>24</v>
      </c>
      <c r="D63" s="13" t="s">
        <v>6</v>
      </c>
      <c r="E63" s="56" t="s">
        <v>31</v>
      </c>
      <c r="F63" s="14">
        <v>137</v>
      </c>
      <c r="G63" s="14">
        <v>1319</v>
      </c>
      <c r="H63" s="15" t="s">
        <v>142</v>
      </c>
      <c r="I63" s="34" t="s">
        <v>40</v>
      </c>
      <c r="J63" s="34"/>
      <c r="K63" s="34"/>
      <c r="L63" s="11"/>
    </row>
    <row r="64" spans="1:12" ht="30" x14ac:dyDescent="0.25">
      <c r="A64">
        <v>58</v>
      </c>
      <c r="B64" s="32"/>
      <c r="C64" s="13" t="s">
        <v>24</v>
      </c>
      <c r="D64" s="13" t="s">
        <v>6</v>
      </c>
      <c r="E64" s="56" t="s">
        <v>110</v>
      </c>
      <c r="F64" s="14">
        <v>40</v>
      </c>
      <c r="G64" s="14">
        <v>115</v>
      </c>
      <c r="H64" s="15" t="s">
        <v>106</v>
      </c>
      <c r="I64" s="34" t="s">
        <v>40</v>
      </c>
      <c r="J64" s="34"/>
      <c r="K64" s="34"/>
      <c r="L64" s="11"/>
    </row>
    <row r="65" spans="1:12" ht="29.25" customHeight="1" x14ac:dyDescent="0.25">
      <c r="A65">
        <v>59</v>
      </c>
      <c r="B65" s="32"/>
      <c r="C65" s="13" t="s">
        <v>24</v>
      </c>
      <c r="D65" s="13" t="s">
        <v>6</v>
      </c>
      <c r="E65" s="56" t="s">
        <v>178</v>
      </c>
      <c r="F65" s="14" t="s">
        <v>107</v>
      </c>
      <c r="G65" s="14" t="s">
        <v>107</v>
      </c>
      <c r="H65" s="15" t="s">
        <v>179</v>
      </c>
      <c r="I65" s="34" t="s">
        <v>40</v>
      </c>
      <c r="J65" s="34"/>
      <c r="K65" s="34"/>
      <c r="L65" s="11"/>
    </row>
    <row r="66" spans="1:12" ht="29.25" customHeight="1" x14ac:dyDescent="0.25">
      <c r="A66">
        <v>60</v>
      </c>
      <c r="B66" s="32"/>
      <c r="C66" s="13" t="s">
        <v>24</v>
      </c>
      <c r="D66" s="13" t="s">
        <v>6</v>
      </c>
      <c r="E66" s="56" t="s">
        <v>187</v>
      </c>
      <c r="F66" s="14">
        <v>110</v>
      </c>
      <c r="G66" s="14">
        <v>476</v>
      </c>
      <c r="H66" s="15" t="s">
        <v>190</v>
      </c>
      <c r="I66" s="34" t="s">
        <v>40</v>
      </c>
      <c r="J66" s="34"/>
      <c r="K66" s="34"/>
      <c r="L66" s="11"/>
    </row>
    <row r="67" spans="1:12" ht="29.25" customHeight="1" x14ac:dyDescent="0.25">
      <c r="A67">
        <v>61</v>
      </c>
      <c r="B67" s="32"/>
      <c r="C67" s="13" t="s">
        <v>24</v>
      </c>
      <c r="D67" s="13" t="s">
        <v>6</v>
      </c>
      <c r="E67" s="56" t="s">
        <v>191</v>
      </c>
      <c r="F67" s="14" t="s">
        <v>107</v>
      </c>
      <c r="G67" s="14" t="s">
        <v>107</v>
      </c>
      <c r="H67" s="29" t="s">
        <v>192</v>
      </c>
      <c r="I67" s="34" t="s">
        <v>40</v>
      </c>
      <c r="J67" s="34"/>
      <c r="K67" s="34"/>
      <c r="L67" s="11"/>
    </row>
    <row r="68" spans="1:12" ht="29.25" customHeight="1" x14ac:dyDescent="0.25">
      <c r="A68">
        <v>62</v>
      </c>
      <c r="B68" s="32"/>
      <c r="C68" s="13" t="s">
        <v>24</v>
      </c>
      <c r="D68" s="13" t="s">
        <v>6</v>
      </c>
      <c r="E68" s="56" t="s">
        <v>191</v>
      </c>
      <c r="F68" s="14" t="s">
        <v>107</v>
      </c>
      <c r="G68" s="14" t="s">
        <v>107</v>
      </c>
      <c r="H68" s="29" t="s">
        <v>193</v>
      </c>
      <c r="I68" s="34" t="s">
        <v>40</v>
      </c>
      <c r="J68" s="34"/>
      <c r="K68" s="34"/>
      <c r="L68" s="11"/>
    </row>
    <row r="69" spans="1:12" ht="15.75" x14ac:dyDescent="0.25">
      <c r="A69">
        <v>63</v>
      </c>
      <c r="B69" s="33"/>
      <c r="C69" s="13" t="s">
        <v>25</v>
      </c>
      <c r="D69" s="13" t="s">
        <v>6</v>
      </c>
      <c r="E69" s="56" t="s">
        <v>43</v>
      </c>
      <c r="F69" s="14">
        <v>240</v>
      </c>
      <c r="G69" s="14">
        <v>456</v>
      </c>
      <c r="H69" s="15" t="s">
        <v>32</v>
      </c>
      <c r="I69" s="34" t="s">
        <v>40</v>
      </c>
      <c r="J69" s="34"/>
      <c r="K69" s="34"/>
      <c r="L69" s="11"/>
    </row>
    <row r="70" spans="1:12" ht="15" customHeight="1" x14ac:dyDescent="0.25">
      <c r="A70">
        <v>64</v>
      </c>
      <c r="B70" s="43" t="s">
        <v>52</v>
      </c>
      <c r="C70" s="13" t="s">
        <v>173</v>
      </c>
      <c r="D70" s="13" t="s">
        <v>6</v>
      </c>
      <c r="E70" s="56" t="s">
        <v>53</v>
      </c>
      <c r="F70" s="14" t="s">
        <v>107</v>
      </c>
      <c r="G70" s="14" t="s">
        <v>107</v>
      </c>
      <c r="H70" s="15" t="s">
        <v>54</v>
      </c>
      <c r="I70" s="34" t="s">
        <v>40</v>
      </c>
      <c r="J70" s="34"/>
      <c r="K70" s="34"/>
      <c r="L70" s="11"/>
    </row>
    <row r="71" spans="1:12" ht="15" customHeight="1" x14ac:dyDescent="0.25">
      <c r="A71">
        <v>65</v>
      </c>
      <c r="B71" s="43"/>
      <c r="C71" s="13" t="s">
        <v>173</v>
      </c>
      <c r="D71" s="13" t="s">
        <v>6</v>
      </c>
      <c r="E71" s="56" t="s">
        <v>163</v>
      </c>
      <c r="F71" s="14" t="s">
        <v>107</v>
      </c>
      <c r="G71" s="14" t="s">
        <v>107</v>
      </c>
      <c r="H71" s="15" t="s">
        <v>164</v>
      </c>
      <c r="I71" s="34" t="s">
        <v>40</v>
      </c>
      <c r="J71" s="34"/>
      <c r="K71" s="34"/>
      <c r="L71" s="11"/>
    </row>
    <row r="72" spans="1:12" ht="15" customHeight="1" x14ac:dyDescent="0.25">
      <c r="A72">
        <v>66</v>
      </c>
      <c r="B72" s="43"/>
      <c r="C72" s="13" t="s">
        <v>173</v>
      </c>
      <c r="D72" s="13" t="s">
        <v>6</v>
      </c>
      <c r="E72" s="56" t="s">
        <v>165</v>
      </c>
      <c r="F72" s="14" t="s">
        <v>107</v>
      </c>
      <c r="G72" s="14" t="s">
        <v>107</v>
      </c>
      <c r="H72" s="15" t="s">
        <v>166</v>
      </c>
      <c r="I72" s="34" t="s">
        <v>40</v>
      </c>
      <c r="J72" s="34"/>
      <c r="K72" s="34"/>
      <c r="L72" s="11"/>
    </row>
    <row r="73" spans="1:12" ht="15.75" x14ac:dyDescent="0.25">
      <c r="A73">
        <v>67</v>
      </c>
      <c r="B73" s="43"/>
      <c r="C73" s="13" t="s">
        <v>174</v>
      </c>
      <c r="D73" s="13" t="s">
        <v>6</v>
      </c>
      <c r="E73" s="56" t="s">
        <v>168</v>
      </c>
      <c r="F73" s="13" t="s">
        <v>107</v>
      </c>
      <c r="G73" s="13" t="s">
        <v>107</v>
      </c>
      <c r="H73" s="28" t="s">
        <v>167</v>
      </c>
      <c r="I73" s="34" t="s">
        <v>40</v>
      </c>
      <c r="J73" s="34"/>
      <c r="K73" s="34"/>
    </row>
    <row r="74" spans="1:12" ht="15.75" x14ac:dyDescent="0.25">
      <c r="A74">
        <v>68</v>
      </c>
      <c r="B74" s="43"/>
      <c r="C74" s="13" t="s">
        <v>174</v>
      </c>
      <c r="D74" s="13" t="s">
        <v>6</v>
      </c>
      <c r="E74" s="58" t="s">
        <v>169</v>
      </c>
      <c r="F74" s="13" t="s">
        <v>107</v>
      </c>
      <c r="G74" s="13" t="s">
        <v>107</v>
      </c>
      <c r="H74" s="28" t="s">
        <v>170</v>
      </c>
      <c r="I74" s="34" t="s">
        <v>40</v>
      </c>
      <c r="J74" s="34"/>
      <c r="K74" s="34"/>
    </row>
    <row r="75" spans="1:12" ht="30" x14ac:dyDescent="0.25">
      <c r="A75">
        <v>69</v>
      </c>
      <c r="B75" s="43"/>
      <c r="C75" s="13" t="s">
        <v>173</v>
      </c>
      <c r="D75" s="13" t="s">
        <v>6</v>
      </c>
      <c r="E75" s="60" t="s">
        <v>171</v>
      </c>
      <c r="F75" s="13" t="s">
        <v>107</v>
      </c>
      <c r="G75" s="13" t="s">
        <v>107</v>
      </c>
      <c r="H75" s="28" t="s">
        <v>172</v>
      </c>
      <c r="I75" s="34" t="s">
        <v>40</v>
      </c>
      <c r="J75" s="34"/>
      <c r="K75" s="34"/>
    </row>
    <row r="76" spans="1:12" ht="15.75" x14ac:dyDescent="0.25">
      <c r="A76">
        <v>70</v>
      </c>
      <c r="B76" s="43"/>
      <c r="C76" s="24" t="s">
        <v>173</v>
      </c>
      <c r="D76" s="13" t="s">
        <v>6</v>
      </c>
      <c r="E76" s="60" t="s">
        <v>185</v>
      </c>
      <c r="F76" s="13" t="s">
        <v>107</v>
      </c>
      <c r="G76" s="13" t="s">
        <v>107</v>
      </c>
      <c r="H76" s="28" t="s">
        <v>186</v>
      </c>
      <c r="I76" s="34" t="s">
        <v>40</v>
      </c>
      <c r="J76" s="34"/>
      <c r="K76" s="34"/>
    </row>
    <row r="77" spans="1:12" ht="15.75" x14ac:dyDescent="0.25">
      <c r="A77">
        <v>71</v>
      </c>
      <c r="B77" s="43"/>
      <c r="C77" s="24" t="s">
        <v>173</v>
      </c>
      <c r="D77" s="13" t="s">
        <v>6</v>
      </c>
      <c r="E77" s="60" t="s">
        <v>184</v>
      </c>
      <c r="F77" s="13" t="s">
        <v>107</v>
      </c>
      <c r="G77" s="13" t="s">
        <v>107</v>
      </c>
      <c r="H77" s="28" t="s">
        <v>183</v>
      </c>
      <c r="I77" s="34" t="s">
        <v>40</v>
      </c>
      <c r="J77" s="34"/>
      <c r="K77" s="34"/>
    </row>
    <row r="78" spans="1:12" x14ac:dyDescent="0.25">
      <c r="B78" s="25"/>
      <c r="C78" s="25"/>
      <c r="D78" s="25"/>
      <c r="E78" s="25"/>
      <c r="F78" s="26"/>
      <c r="G78" s="26"/>
      <c r="H78" s="27"/>
      <c r="I78" s="25"/>
      <c r="J78" s="25"/>
      <c r="K78" s="25"/>
    </row>
    <row r="79" spans="1:12" x14ac:dyDescent="0.25">
      <c r="B79" s="25"/>
      <c r="C79" s="25"/>
      <c r="D79" s="25"/>
      <c r="E79" s="25"/>
      <c r="F79" s="26"/>
      <c r="G79" s="26"/>
      <c r="H79" s="27"/>
      <c r="I79" s="25"/>
      <c r="J79" s="25"/>
      <c r="K79" s="25"/>
    </row>
    <row r="80" spans="1:12" x14ac:dyDescent="0.25">
      <c r="B80" s="3" t="s">
        <v>44</v>
      </c>
      <c r="C80" s="2"/>
      <c r="D80" s="2"/>
      <c r="E80" s="2"/>
      <c r="F80" s="7"/>
      <c r="G80" s="7"/>
      <c r="H80" s="5"/>
      <c r="I80" s="2"/>
      <c r="J80" s="2"/>
      <c r="K80" s="2"/>
    </row>
    <row r="81" spans="2:12" x14ac:dyDescent="0.25">
      <c r="B81" s="42" t="s">
        <v>47</v>
      </c>
      <c r="C81" s="42"/>
      <c r="D81" s="42"/>
      <c r="E81" s="42"/>
      <c r="F81" s="42"/>
      <c r="G81" s="42"/>
      <c r="H81" s="42"/>
      <c r="I81" s="42"/>
      <c r="J81" s="42"/>
      <c r="K81" s="42"/>
      <c r="L81" s="12"/>
    </row>
    <row r="82" spans="2:12" x14ac:dyDescent="0.25">
      <c r="B82" s="42" t="s">
        <v>48</v>
      </c>
      <c r="C82" s="42"/>
      <c r="D82" s="42"/>
      <c r="E82" s="42"/>
      <c r="F82" s="42"/>
      <c r="G82" s="42"/>
      <c r="H82" s="42"/>
      <c r="I82" s="42"/>
      <c r="J82" s="42"/>
      <c r="K82" s="42"/>
      <c r="L82" s="12"/>
    </row>
    <row r="83" spans="2:12" x14ac:dyDescent="0.25">
      <c r="B83" s="42" t="s">
        <v>51</v>
      </c>
      <c r="C83" s="42"/>
      <c r="D83" s="42"/>
      <c r="E83" s="42"/>
      <c r="F83" s="42"/>
      <c r="G83" s="42"/>
      <c r="H83" s="42"/>
      <c r="I83" s="42"/>
      <c r="J83" s="42"/>
      <c r="K83" s="42"/>
      <c r="L83" s="12"/>
    </row>
    <row r="84" spans="2:12" x14ac:dyDescent="0.25">
      <c r="B84" s="2" t="s">
        <v>56</v>
      </c>
      <c r="C84" s="2"/>
      <c r="D84" s="2"/>
      <c r="E84" s="2"/>
      <c r="F84" s="7"/>
      <c r="G84" s="7"/>
      <c r="H84" s="5"/>
      <c r="I84" s="2"/>
      <c r="J84" s="2"/>
      <c r="K84" s="2"/>
    </row>
    <row r="85" spans="2:12" x14ac:dyDescent="0.25">
      <c r="B85" s="2" t="s">
        <v>73</v>
      </c>
      <c r="C85" s="2"/>
      <c r="D85" s="2"/>
      <c r="E85" s="2"/>
      <c r="F85" s="7"/>
      <c r="G85" s="7"/>
      <c r="H85" s="5"/>
      <c r="I85" s="2"/>
      <c r="J85" s="2"/>
      <c r="K85" s="2"/>
    </row>
    <row r="88" spans="2:12" x14ac:dyDescent="0.25">
      <c r="B88" t="s">
        <v>149</v>
      </c>
    </row>
  </sheetData>
  <mergeCells count="88">
    <mergeCell ref="I66:K66"/>
    <mergeCell ref="I67:K67"/>
    <mergeCell ref="I68:K68"/>
    <mergeCell ref="I58:K58"/>
    <mergeCell ref="I48:K48"/>
    <mergeCell ref="I65:K65"/>
    <mergeCell ref="I56:K56"/>
    <mergeCell ref="I63:K63"/>
    <mergeCell ref="I62:K62"/>
    <mergeCell ref="I72:K72"/>
    <mergeCell ref="I73:K73"/>
    <mergeCell ref="I74:K74"/>
    <mergeCell ref="I75:K75"/>
    <mergeCell ref="I76:K76"/>
    <mergeCell ref="I77:K77"/>
    <mergeCell ref="B60:B69"/>
    <mergeCell ref="I60:K60"/>
    <mergeCell ref="B5:K5"/>
    <mergeCell ref="I16:K16"/>
    <mergeCell ref="I26:K26"/>
    <mergeCell ref="I17:K17"/>
    <mergeCell ref="I7:K7"/>
    <mergeCell ref="I10:K10"/>
    <mergeCell ref="I11:K11"/>
    <mergeCell ref="B17:B26"/>
    <mergeCell ref="C7:C9"/>
    <mergeCell ref="I9:K9"/>
    <mergeCell ref="I8:K8"/>
    <mergeCell ref="I25:K25"/>
    <mergeCell ref="I71:K71"/>
    <mergeCell ref="I6:K6"/>
    <mergeCell ref="B83:K83"/>
    <mergeCell ref="B82:K82"/>
    <mergeCell ref="B81:K81"/>
    <mergeCell ref="I70:K70"/>
    <mergeCell ref="I21:K21"/>
    <mergeCell ref="I38:K38"/>
    <mergeCell ref="B38:B42"/>
    <mergeCell ref="I69:K69"/>
    <mergeCell ref="I43:K43"/>
    <mergeCell ref="B43:B45"/>
    <mergeCell ref="I39:K39"/>
    <mergeCell ref="B27:B31"/>
    <mergeCell ref="I27:K27"/>
    <mergeCell ref="I64:K64"/>
    <mergeCell ref="B70:B77"/>
    <mergeCell ref="I61:K61"/>
    <mergeCell ref="I46:K46"/>
    <mergeCell ref="I47:K47"/>
    <mergeCell ref="I51:K51"/>
    <mergeCell ref="I52:K52"/>
    <mergeCell ref="I53:K53"/>
    <mergeCell ref="I54:K54"/>
    <mergeCell ref="I55:K55"/>
    <mergeCell ref="I59:K59"/>
    <mergeCell ref="I49:K49"/>
    <mergeCell ref="I57:K57"/>
    <mergeCell ref="B52:B59"/>
    <mergeCell ref="C46:C51"/>
    <mergeCell ref="I22:K23"/>
    <mergeCell ref="I28:K28"/>
    <mergeCell ref="I29:K29"/>
    <mergeCell ref="I30:K30"/>
    <mergeCell ref="I31:K31"/>
    <mergeCell ref="I36:K36"/>
    <mergeCell ref="B32:B33"/>
    <mergeCell ref="I32:K32"/>
    <mergeCell ref="B34:B37"/>
    <mergeCell ref="I44:K44"/>
    <mergeCell ref="D46:D50"/>
    <mergeCell ref="I50:K50"/>
    <mergeCell ref="I33:K33"/>
    <mergeCell ref="B46:B51"/>
    <mergeCell ref="I45:K45"/>
    <mergeCell ref="I15:K15"/>
    <mergeCell ref="B15:B16"/>
    <mergeCell ref="B7:B14"/>
    <mergeCell ref="I20:K20"/>
    <mergeCell ref="I19:K19"/>
    <mergeCell ref="I37:K37"/>
    <mergeCell ref="I42:K42"/>
    <mergeCell ref="I24:K24"/>
    <mergeCell ref="I40:K40"/>
    <mergeCell ref="I14:K14"/>
    <mergeCell ref="I12:K12"/>
    <mergeCell ref="I13:K13"/>
    <mergeCell ref="I18:K18"/>
    <mergeCell ref="I41:K41"/>
  </mergeCells>
  <phoneticPr fontId="3" type="noConversion"/>
  <pageMargins left="0.25" right="0.25" top="0.75" bottom="0.75" header="0.3" footer="0.3"/>
  <pageSetup paperSize="8" scale="5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B516-8D8E-403A-BBDB-C9814C7FFD87}">
  <sheetPr>
    <pageSetUpPr fitToPage="1"/>
  </sheetPr>
  <dimension ref="A2:L88"/>
  <sheetViews>
    <sheetView showGridLines="0" topLeftCell="A64" zoomScale="90" zoomScaleNormal="90" workbookViewId="0">
      <selection activeCell="M21" sqref="M21"/>
    </sheetView>
  </sheetViews>
  <sheetFormatPr baseColWidth="10" defaultRowHeight="15" x14ac:dyDescent="0.25"/>
  <cols>
    <col min="2" max="2" width="20.140625" customWidth="1"/>
    <col min="3" max="3" width="27.85546875" customWidth="1"/>
    <col min="4" max="4" width="27.42578125" hidden="1" customWidth="1"/>
    <col min="5" max="5" width="34.42578125" customWidth="1"/>
    <col min="6" max="6" width="18.5703125" style="6" customWidth="1"/>
    <col min="7" max="7" width="18.28515625" style="6" customWidth="1"/>
    <col min="8" max="8" width="33.28515625" style="4" customWidth="1"/>
    <col min="9" max="9" width="13.85546875" hidden="1" customWidth="1"/>
    <col min="10" max="10" width="16.140625" hidden="1" customWidth="1"/>
    <col min="11" max="11" width="57.140625" hidden="1" customWidth="1"/>
    <col min="12" max="12" width="27.28515625" customWidth="1"/>
  </cols>
  <sheetData>
    <row r="2" spans="1:12" ht="13.9" customHeight="1" x14ac:dyDescent="0.25"/>
    <row r="3" spans="1:12" ht="13.9" customHeight="1" x14ac:dyDescent="0.25"/>
    <row r="4" spans="1:12" ht="13.9" customHeight="1" x14ac:dyDescent="0.25"/>
    <row r="5" spans="1:12" ht="36" customHeight="1" x14ac:dyDescent="0.25">
      <c r="B5" s="44" t="s">
        <v>155</v>
      </c>
      <c r="C5" s="45"/>
      <c r="D5" s="45"/>
      <c r="E5" s="45"/>
      <c r="F5" s="45"/>
      <c r="G5" s="45"/>
      <c r="H5" s="45"/>
      <c r="I5" s="45"/>
      <c r="J5" s="45"/>
      <c r="K5" s="46"/>
      <c r="L5" s="9"/>
    </row>
    <row r="6" spans="1:12" ht="27" customHeight="1" x14ac:dyDescent="0.25">
      <c r="B6" s="1" t="s">
        <v>33</v>
      </c>
      <c r="C6" s="1" t="s">
        <v>121</v>
      </c>
      <c r="D6" s="1" t="s">
        <v>0</v>
      </c>
      <c r="E6" s="1" t="s">
        <v>1</v>
      </c>
      <c r="F6" s="1" t="s">
        <v>113</v>
      </c>
      <c r="G6" s="1" t="s">
        <v>114</v>
      </c>
      <c r="H6" s="8" t="s">
        <v>34</v>
      </c>
      <c r="I6" s="41" t="s">
        <v>35</v>
      </c>
      <c r="J6" s="41"/>
      <c r="K6" s="41"/>
      <c r="L6" s="10"/>
    </row>
    <row r="7" spans="1:12" ht="27" customHeight="1" x14ac:dyDescent="0.25">
      <c r="A7">
        <v>1</v>
      </c>
      <c r="B7" s="31" t="s">
        <v>2</v>
      </c>
      <c r="C7" s="38" t="s">
        <v>36</v>
      </c>
      <c r="D7" s="13" t="s">
        <v>46</v>
      </c>
      <c r="E7" s="14" t="s">
        <v>38</v>
      </c>
      <c r="F7" s="14">
        <v>53</v>
      </c>
      <c r="G7" s="14">
        <v>47</v>
      </c>
      <c r="H7" s="15" t="s">
        <v>49</v>
      </c>
      <c r="I7" s="34"/>
      <c r="J7" s="34"/>
      <c r="K7" s="34"/>
      <c r="L7" s="11"/>
    </row>
    <row r="8" spans="1:12" ht="27" customHeight="1" x14ac:dyDescent="0.25">
      <c r="A8">
        <v>2</v>
      </c>
      <c r="B8" s="32"/>
      <c r="C8" s="39"/>
      <c r="D8" s="13" t="s">
        <v>107</v>
      </c>
      <c r="E8" s="14" t="s">
        <v>75</v>
      </c>
      <c r="F8" s="14" t="s">
        <v>6</v>
      </c>
      <c r="G8" s="14" t="s">
        <v>6</v>
      </c>
      <c r="H8" s="15" t="s">
        <v>76</v>
      </c>
      <c r="I8" s="35" t="s">
        <v>40</v>
      </c>
      <c r="J8" s="36"/>
      <c r="K8" s="37"/>
      <c r="L8" s="11"/>
    </row>
    <row r="9" spans="1:12" ht="27" customHeight="1" x14ac:dyDescent="0.25">
      <c r="A9">
        <v>3</v>
      </c>
      <c r="B9" s="32"/>
      <c r="C9" s="40"/>
      <c r="D9" s="13" t="s">
        <v>107</v>
      </c>
      <c r="E9" s="14" t="s">
        <v>74</v>
      </c>
      <c r="F9" s="14" t="s">
        <v>6</v>
      </c>
      <c r="G9" s="14" t="s">
        <v>6</v>
      </c>
      <c r="H9" s="15" t="s">
        <v>77</v>
      </c>
      <c r="I9" s="35" t="s">
        <v>40</v>
      </c>
      <c r="J9" s="36"/>
      <c r="K9" s="37"/>
      <c r="L9" s="11"/>
    </row>
    <row r="10" spans="1:12" ht="28.15" customHeight="1" x14ac:dyDescent="0.25">
      <c r="A10">
        <v>4</v>
      </c>
      <c r="B10" s="32"/>
      <c r="C10" s="13" t="s">
        <v>45</v>
      </c>
      <c r="D10" s="13" t="s">
        <v>3</v>
      </c>
      <c r="E10" s="14" t="s">
        <v>37</v>
      </c>
      <c r="F10" s="14">
        <v>36</v>
      </c>
      <c r="G10" s="14">
        <v>21</v>
      </c>
      <c r="H10" s="15" t="s">
        <v>4</v>
      </c>
      <c r="I10" s="34"/>
      <c r="J10" s="34"/>
      <c r="K10" s="34"/>
      <c r="L10" s="11"/>
    </row>
    <row r="11" spans="1:12" ht="27" customHeight="1" x14ac:dyDescent="0.25">
      <c r="A11">
        <v>5</v>
      </c>
      <c r="B11" s="32"/>
      <c r="C11" s="13" t="s">
        <v>65</v>
      </c>
      <c r="D11" s="13" t="s">
        <v>69</v>
      </c>
      <c r="E11" s="14" t="s">
        <v>66</v>
      </c>
      <c r="F11" s="14">
        <v>49</v>
      </c>
      <c r="G11" s="14">
        <v>46</v>
      </c>
      <c r="H11" s="15" t="s">
        <v>129</v>
      </c>
      <c r="I11" s="34"/>
      <c r="J11" s="34"/>
      <c r="K11" s="34"/>
      <c r="L11" s="11"/>
    </row>
    <row r="12" spans="1:12" ht="27" customHeight="1" x14ac:dyDescent="0.25">
      <c r="A12">
        <v>6</v>
      </c>
      <c r="B12" s="32"/>
      <c r="C12" s="13" t="s">
        <v>70</v>
      </c>
      <c r="D12" s="13" t="s">
        <v>69</v>
      </c>
      <c r="E12" s="14" t="s">
        <v>99</v>
      </c>
      <c r="F12" s="14">
        <v>94</v>
      </c>
      <c r="G12" s="14">
        <v>87</v>
      </c>
      <c r="H12" s="15" t="s">
        <v>71</v>
      </c>
      <c r="I12" s="34"/>
      <c r="J12" s="34"/>
      <c r="K12" s="34"/>
      <c r="L12" s="11"/>
    </row>
    <row r="13" spans="1:12" ht="27" customHeight="1" x14ac:dyDescent="0.25">
      <c r="A13">
        <v>7</v>
      </c>
      <c r="B13" s="32"/>
      <c r="C13" s="13" t="s">
        <v>122</v>
      </c>
      <c r="D13" s="13" t="s">
        <v>107</v>
      </c>
      <c r="E13" s="14" t="s">
        <v>123</v>
      </c>
      <c r="F13" s="14" t="s">
        <v>116</v>
      </c>
      <c r="G13" s="14" t="s">
        <v>116</v>
      </c>
      <c r="H13" s="20" t="s">
        <v>125</v>
      </c>
      <c r="I13" s="35" t="s">
        <v>131</v>
      </c>
      <c r="J13" s="36"/>
      <c r="K13" s="37"/>
      <c r="L13" s="11"/>
    </row>
    <row r="14" spans="1:12" ht="27" customHeight="1" x14ac:dyDescent="0.25">
      <c r="A14">
        <v>8</v>
      </c>
      <c r="B14" s="32"/>
      <c r="C14" s="13" t="s">
        <v>122</v>
      </c>
      <c r="D14" s="13" t="s">
        <v>107</v>
      </c>
      <c r="E14" s="14" t="s">
        <v>124</v>
      </c>
      <c r="F14" s="14" t="s">
        <v>116</v>
      </c>
      <c r="G14" s="14" t="s">
        <v>116</v>
      </c>
      <c r="H14" s="15" t="s">
        <v>132</v>
      </c>
      <c r="I14" s="35" t="s">
        <v>131</v>
      </c>
      <c r="J14" s="36"/>
      <c r="K14" s="37"/>
      <c r="L14" s="11"/>
    </row>
    <row r="15" spans="1:12" ht="27" customHeight="1" x14ac:dyDescent="0.25">
      <c r="A15">
        <v>9</v>
      </c>
      <c r="B15" s="31" t="s">
        <v>5</v>
      </c>
      <c r="C15" s="13" t="s">
        <v>62</v>
      </c>
      <c r="D15" s="13" t="s">
        <v>7</v>
      </c>
      <c r="E15" s="14" t="s">
        <v>38</v>
      </c>
      <c r="F15" s="14">
        <v>53</v>
      </c>
      <c r="G15" s="14">
        <v>47</v>
      </c>
      <c r="H15" s="15" t="s">
        <v>8</v>
      </c>
      <c r="I15" s="34"/>
      <c r="J15" s="34"/>
      <c r="K15" s="34"/>
      <c r="L15" s="11"/>
    </row>
    <row r="16" spans="1:12" ht="26.25" customHeight="1" x14ac:dyDescent="0.25">
      <c r="A16">
        <v>10</v>
      </c>
      <c r="B16" s="33"/>
      <c r="C16" s="13" t="s">
        <v>63</v>
      </c>
      <c r="D16" s="13" t="s">
        <v>7</v>
      </c>
      <c r="E16" s="14" t="s">
        <v>72</v>
      </c>
      <c r="F16" s="14">
        <v>94</v>
      </c>
      <c r="G16" s="14">
        <v>87</v>
      </c>
      <c r="H16" s="15" t="s">
        <v>64</v>
      </c>
      <c r="I16" s="34"/>
      <c r="J16" s="34"/>
      <c r="K16" s="34"/>
      <c r="L16" s="11"/>
    </row>
    <row r="17" spans="1:12" ht="25.15" customHeight="1" x14ac:dyDescent="0.25">
      <c r="A17">
        <v>11</v>
      </c>
      <c r="B17" s="31" t="s">
        <v>9</v>
      </c>
      <c r="C17" s="13" t="s">
        <v>10</v>
      </c>
      <c r="D17" s="13" t="s">
        <v>57</v>
      </c>
      <c r="E17" s="14" t="s">
        <v>11</v>
      </c>
      <c r="F17" s="14">
        <v>81</v>
      </c>
      <c r="G17" s="14">
        <v>70</v>
      </c>
      <c r="H17" s="15" t="s">
        <v>12</v>
      </c>
      <c r="I17" s="34"/>
      <c r="J17" s="34"/>
      <c r="K17" s="34"/>
      <c r="L17" s="11"/>
    </row>
    <row r="18" spans="1:12" ht="25.15" customHeight="1" x14ac:dyDescent="0.25">
      <c r="A18">
        <v>12</v>
      </c>
      <c r="B18" s="32"/>
      <c r="C18" s="13" t="s">
        <v>10</v>
      </c>
      <c r="D18" s="13" t="s">
        <v>86</v>
      </c>
      <c r="E18" s="14" t="s">
        <v>82</v>
      </c>
      <c r="F18" s="14">
        <v>21.8</v>
      </c>
      <c r="G18" s="14">
        <v>21</v>
      </c>
      <c r="H18" s="15" t="s">
        <v>133</v>
      </c>
      <c r="I18" s="35"/>
      <c r="J18" s="36"/>
      <c r="K18" s="37"/>
      <c r="L18" s="11"/>
    </row>
    <row r="19" spans="1:12" ht="25.15" customHeight="1" x14ac:dyDescent="0.25">
      <c r="A19">
        <v>13</v>
      </c>
      <c r="B19" s="32"/>
      <c r="C19" s="13" t="s">
        <v>10</v>
      </c>
      <c r="D19" s="13" t="s">
        <v>86</v>
      </c>
      <c r="E19" s="14" t="s">
        <v>93</v>
      </c>
      <c r="F19" s="14">
        <v>30</v>
      </c>
      <c r="G19" s="14">
        <v>30</v>
      </c>
      <c r="H19" s="15" t="s">
        <v>94</v>
      </c>
      <c r="I19" s="35"/>
      <c r="J19" s="36"/>
      <c r="K19" s="37"/>
      <c r="L19" s="11"/>
    </row>
    <row r="20" spans="1:12" ht="24" customHeight="1" x14ac:dyDescent="0.25">
      <c r="A20">
        <v>14</v>
      </c>
      <c r="B20" s="32"/>
      <c r="C20" s="13" t="s">
        <v>10</v>
      </c>
      <c r="D20" s="13" t="s">
        <v>150</v>
      </c>
      <c r="E20" s="14" t="s">
        <v>92</v>
      </c>
      <c r="F20" s="14">
        <v>57.8</v>
      </c>
      <c r="G20" s="14">
        <v>62.2</v>
      </c>
      <c r="H20" s="15" t="s">
        <v>134</v>
      </c>
      <c r="I20" s="35"/>
      <c r="J20" s="36"/>
      <c r="K20" s="37"/>
      <c r="L20" s="11"/>
    </row>
    <row r="21" spans="1:12" ht="27" customHeight="1" x14ac:dyDescent="0.25">
      <c r="A21">
        <v>15</v>
      </c>
      <c r="B21" s="32"/>
      <c r="C21" s="13" t="s">
        <v>24</v>
      </c>
      <c r="D21" s="13" t="s">
        <v>6</v>
      </c>
      <c r="E21" s="14" t="s">
        <v>60</v>
      </c>
      <c r="F21" s="14">
        <v>150</v>
      </c>
      <c r="G21" s="14">
        <v>150</v>
      </c>
      <c r="H21" s="15" t="s">
        <v>61</v>
      </c>
      <c r="I21" s="34" t="s">
        <v>40</v>
      </c>
      <c r="J21" s="34"/>
      <c r="K21" s="34"/>
      <c r="L21" s="11"/>
    </row>
    <row r="22" spans="1:12" ht="35.25" customHeight="1" x14ac:dyDescent="0.25">
      <c r="A22">
        <v>16</v>
      </c>
      <c r="B22" s="32"/>
      <c r="C22" s="13" t="s">
        <v>24</v>
      </c>
      <c r="D22" s="13" t="s">
        <v>6</v>
      </c>
      <c r="E22" s="14" t="s">
        <v>156</v>
      </c>
      <c r="F22" s="14">
        <v>17</v>
      </c>
      <c r="G22" s="14">
        <v>25</v>
      </c>
      <c r="H22" s="15" t="s">
        <v>182</v>
      </c>
      <c r="I22" s="34"/>
      <c r="J22" s="34"/>
      <c r="K22" s="34"/>
      <c r="L22" s="11"/>
    </row>
    <row r="23" spans="1:12" ht="35.25" customHeight="1" x14ac:dyDescent="0.25">
      <c r="A23">
        <v>17</v>
      </c>
      <c r="B23" s="32"/>
      <c r="C23" s="13" t="s">
        <v>24</v>
      </c>
      <c r="D23" s="13" t="s">
        <v>6</v>
      </c>
      <c r="E23" s="14" t="s">
        <v>180</v>
      </c>
      <c r="F23" s="14">
        <v>17</v>
      </c>
      <c r="G23" s="14">
        <v>25</v>
      </c>
      <c r="H23" s="15" t="s">
        <v>181</v>
      </c>
      <c r="I23" s="35"/>
      <c r="J23" s="36"/>
      <c r="K23" s="37"/>
      <c r="L23" s="11"/>
    </row>
    <row r="24" spans="1:12" ht="24" customHeight="1" x14ac:dyDescent="0.25">
      <c r="A24">
        <v>18</v>
      </c>
      <c r="B24" s="32"/>
      <c r="C24" s="13" t="s">
        <v>67</v>
      </c>
      <c r="D24" s="13" t="s">
        <v>6</v>
      </c>
      <c r="E24" s="14" t="s">
        <v>68</v>
      </c>
      <c r="F24" s="14">
        <v>15.3</v>
      </c>
      <c r="G24" s="14">
        <v>16.2</v>
      </c>
      <c r="H24" s="15" t="s">
        <v>111</v>
      </c>
      <c r="I24" s="34"/>
      <c r="J24" s="34"/>
      <c r="K24" s="34"/>
      <c r="L24" s="11"/>
    </row>
    <row r="25" spans="1:12" ht="24" customHeight="1" x14ac:dyDescent="0.25">
      <c r="A25">
        <v>19</v>
      </c>
      <c r="B25" s="32"/>
      <c r="C25" s="13" t="s">
        <v>58</v>
      </c>
      <c r="D25" s="13" t="s">
        <v>6</v>
      </c>
      <c r="E25" s="14" t="s">
        <v>84</v>
      </c>
      <c r="F25" s="14">
        <v>26</v>
      </c>
      <c r="G25" s="14">
        <v>34</v>
      </c>
      <c r="H25" s="21" t="s">
        <v>85</v>
      </c>
      <c r="I25" s="35" t="s">
        <v>112</v>
      </c>
      <c r="J25" s="36"/>
      <c r="K25" s="37"/>
      <c r="L25" s="11"/>
    </row>
    <row r="26" spans="1:12" ht="26.25" customHeight="1" x14ac:dyDescent="0.25">
      <c r="A26">
        <v>20</v>
      </c>
      <c r="B26" s="33"/>
      <c r="C26" s="13" t="s">
        <v>58</v>
      </c>
      <c r="D26" s="13" t="s">
        <v>6</v>
      </c>
      <c r="E26" s="14" t="s">
        <v>59</v>
      </c>
      <c r="F26" s="14">
        <v>69</v>
      </c>
      <c r="G26" s="14">
        <v>46</v>
      </c>
      <c r="H26" s="15" t="s">
        <v>103</v>
      </c>
      <c r="I26" s="35"/>
      <c r="J26" s="36"/>
      <c r="K26" s="37"/>
      <c r="L26" s="11"/>
    </row>
    <row r="27" spans="1:12" ht="26.25" customHeight="1" x14ac:dyDescent="0.25">
      <c r="A27">
        <v>21</v>
      </c>
      <c r="B27" s="31" t="s">
        <v>39</v>
      </c>
      <c r="C27" s="13" t="s">
        <v>6</v>
      </c>
      <c r="D27" s="13" t="s">
        <v>6</v>
      </c>
      <c r="E27" s="14" t="s">
        <v>82</v>
      </c>
      <c r="F27" s="14">
        <v>21.8</v>
      </c>
      <c r="G27" s="14">
        <v>21</v>
      </c>
      <c r="H27" s="15" t="s">
        <v>83</v>
      </c>
      <c r="I27" s="34"/>
      <c r="J27" s="34"/>
      <c r="K27" s="34"/>
      <c r="L27" s="11"/>
    </row>
    <row r="28" spans="1:12" ht="26.25" customHeight="1" x14ac:dyDescent="0.25">
      <c r="A28">
        <v>22</v>
      </c>
      <c r="B28" s="32"/>
      <c r="C28" s="13" t="s">
        <v>6</v>
      </c>
      <c r="D28" s="13" t="s">
        <v>6</v>
      </c>
      <c r="E28" s="14" t="s">
        <v>115</v>
      </c>
      <c r="F28" s="14">
        <v>49.7</v>
      </c>
      <c r="G28" s="14">
        <v>97</v>
      </c>
      <c r="H28" s="15" t="s">
        <v>13</v>
      </c>
      <c r="I28" s="34"/>
      <c r="J28" s="34"/>
      <c r="K28" s="34"/>
      <c r="L28" s="11"/>
    </row>
    <row r="29" spans="1:12" ht="26.25" customHeight="1" x14ac:dyDescent="0.25">
      <c r="A29">
        <v>23</v>
      </c>
      <c r="B29" s="32"/>
      <c r="C29" s="13" t="s">
        <v>6</v>
      </c>
      <c r="D29" s="13" t="s">
        <v>6</v>
      </c>
      <c r="E29" s="14" t="s">
        <v>157</v>
      </c>
      <c r="F29" s="14">
        <v>85</v>
      </c>
      <c r="G29" s="14">
        <v>62</v>
      </c>
      <c r="H29" s="15" t="s">
        <v>158</v>
      </c>
      <c r="I29" s="47"/>
      <c r="J29" s="47"/>
      <c r="K29" s="47"/>
      <c r="L29" s="11"/>
    </row>
    <row r="30" spans="1:12" ht="26.25" customHeight="1" x14ac:dyDescent="0.25">
      <c r="A30">
        <v>24</v>
      </c>
      <c r="B30" s="32"/>
      <c r="C30" s="13" t="s">
        <v>6</v>
      </c>
      <c r="D30" s="13" t="s">
        <v>6</v>
      </c>
      <c r="E30" s="14" t="s">
        <v>159</v>
      </c>
      <c r="F30" s="14">
        <v>180</v>
      </c>
      <c r="G30" s="14">
        <v>180</v>
      </c>
      <c r="H30" s="15" t="s">
        <v>162</v>
      </c>
      <c r="I30" s="35" t="s">
        <v>112</v>
      </c>
      <c r="J30" s="36"/>
      <c r="K30" s="37"/>
      <c r="L30" s="11"/>
    </row>
    <row r="31" spans="1:12" ht="32.25" customHeight="1" x14ac:dyDescent="0.25">
      <c r="A31">
        <v>25</v>
      </c>
      <c r="B31" s="32"/>
      <c r="C31" s="13" t="s">
        <v>6</v>
      </c>
      <c r="D31" s="13" t="s">
        <v>6</v>
      </c>
      <c r="E31" s="14" t="s">
        <v>160</v>
      </c>
      <c r="F31" s="14">
        <v>30</v>
      </c>
      <c r="G31" s="14">
        <v>23</v>
      </c>
      <c r="H31" s="15" t="s">
        <v>161</v>
      </c>
      <c r="I31" s="47"/>
      <c r="J31" s="47"/>
      <c r="K31" s="47"/>
      <c r="L31" s="11"/>
    </row>
    <row r="32" spans="1:12" ht="25.5" customHeight="1" x14ac:dyDescent="0.25">
      <c r="A32">
        <v>26</v>
      </c>
      <c r="B32" s="31" t="s">
        <v>50</v>
      </c>
      <c r="C32" s="13" t="s">
        <v>6</v>
      </c>
      <c r="D32" s="13" t="s">
        <v>6</v>
      </c>
      <c r="E32" s="14" t="s">
        <v>81</v>
      </c>
      <c r="F32" s="14">
        <v>110.6</v>
      </c>
      <c r="G32" s="14">
        <v>65</v>
      </c>
      <c r="H32" s="15" t="s">
        <v>135</v>
      </c>
      <c r="I32" s="34"/>
      <c r="J32" s="34"/>
      <c r="K32" s="34"/>
      <c r="L32" s="11"/>
    </row>
    <row r="33" spans="1:12" ht="25.5" customHeight="1" x14ac:dyDescent="0.25">
      <c r="A33">
        <v>27</v>
      </c>
      <c r="B33" s="33"/>
      <c r="C33" s="13" t="s">
        <v>6</v>
      </c>
      <c r="D33" s="13" t="s">
        <v>6</v>
      </c>
      <c r="E33" s="14" t="s">
        <v>14</v>
      </c>
      <c r="F33" s="14">
        <v>56</v>
      </c>
      <c r="G33" s="14">
        <v>53</v>
      </c>
      <c r="H33" s="21" t="s">
        <v>146</v>
      </c>
      <c r="I33" s="34"/>
      <c r="J33" s="34"/>
      <c r="K33" s="34"/>
      <c r="L33" s="11"/>
    </row>
    <row r="34" spans="1:12" ht="25.5" customHeight="1" x14ac:dyDescent="0.25">
      <c r="A34">
        <v>28</v>
      </c>
      <c r="B34" s="31" t="s">
        <v>15</v>
      </c>
      <c r="C34" s="13" t="s">
        <v>6</v>
      </c>
      <c r="D34" s="13" t="s">
        <v>6</v>
      </c>
      <c r="E34" s="14" t="s">
        <v>16</v>
      </c>
      <c r="F34" s="14">
        <v>94</v>
      </c>
      <c r="G34" s="14">
        <v>87</v>
      </c>
      <c r="H34" s="21" t="s">
        <v>126</v>
      </c>
      <c r="I34" s="16"/>
      <c r="J34" s="17"/>
      <c r="K34" s="18"/>
      <c r="L34" s="11"/>
    </row>
    <row r="35" spans="1:12" ht="25.5" customHeight="1" x14ac:dyDescent="0.25">
      <c r="A35">
        <v>29</v>
      </c>
      <c r="B35" s="32"/>
      <c r="C35" s="13" t="s">
        <v>6</v>
      </c>
      <c r="D35" s="13" t="s">
        <v>6</v>
      </c>
      <c r="E35" s="14" t="s">
        <v>127</v>
      </c>
      <c r="F35" s="14">
        <v>57</v>
      </c>
      <c r="G35" s="14">
        <v>62</v>
      </c>
      <c r="H35" s="21" t="s">
        <v>128</v>
      </c>
      <c r="I35" s="16"/>
      <c r="J35" s="17"/>
      <c r="K35" s="18"/>
      <c r="L35" s="11"/>
    </row>
    <row r="36" spans="1:12" ht="25.5" customHeight="1" x14ac:dyDescent="0.25">
      <c r="A36">
        <v>30</v>
      </c>
      <c r="B36" s="32"/>
      <c r="C36" s="13" t="s">
        <v>6</v>
      </c>
      <c r="D36" s="13" t="s">
        <v>6</v>
      </c>
      <c r="E36" s="14" t="s">
        <v>136</v>
      </c>
      <c r="F36" s="14">
        <v>30</v>
      </c>
      <c r="G36" s="14">
        <v>30</v>
      </c>
      <c r="H36" s="21" t="s">
        <v>89</v>
      </c>
      <c r="I36" s="35"/>
      <c r="J36" s="36"/>
      <c r="K36" s="37"/>
      <c r="L36" s="11"/>
    </row>
    <row r="37" spans="1:12" ht="27" customHeight="1" x14ac:dyDescent="0.25">
      <c r="A37">
        <v>31</v>
      </c>
      <c r="B37" s="33"/>
      <c r="C37" s="13" t="s">
        <v>6</v>
      </c>
      <c r="D37" s="13" t="s">
        <v>6</v>
      </c>
      <c r="E37" s="14" t="s">
        <v>119</v>
      </c>
      <c r="F37" s="14">
        <v>100</v>
      </c>
      <c r="G37" s="14">
        <v>198.6</v>
      </c>
      <c r="H37" s="15" t="s">
        <v>118</v>
      </c>
      <c r="I37" s="34"/>
      <c r="J37" s="34"/>
      <c r="K37" s="34"/>
      <c r="L37" s="11"/>
    </row>
    <row r="38" spans="1:12" ht="27" customHeight="1" x14ac:dyDescent="0.25">
      <c r="A38">
        <v>32</v>
      </c>
      <c r="B38" s="31" t="s">
        <v>17</v>
      </c>
      <c r="C38" s="13" t="s">
        <v>6</v>
      </c>
      <c r="D38" s="13" t="s">
        <v>6</v>
      </c>
      <c r="E38" s="14" t="s">
        <v>18</v>
      </c>
      <c r="F38" s="14">
        <v>77</v>
      </c>
      <c r="G38" s="14">
        <v>204</v>
      </c>
      <c r="H38" s="15" t="s">
        <v>21</v>
      </c>
      <c r="I38" s="34" t="s">
        <v>40</v>
      </c>
      <c r="J38" s="34"/>
      <c r="K38" s="34"/>
      <c r="L38" s="11"/>
    </row>
    <row r="39" spans="1:12" ht="27" customHeight="1" x14ac:dyDescent="0.25">
      <c r="A39">
        <v>33</v>
      </c>
      <c r="B39" s="32"/>
      <c r="C39" s="13" t="s">
        <v>6</v>
      </c>
      <c r="D39" s="13" t="s">
        <v>6</v>
      </c>
      <c r="E39" s="14" t="s">
        <v>80</v>
      </c>
      <c r="F39" s="14">
        <v>70</v>
      </c>
      <c r="G39" s="14">
        <v>70</v>
      </c>
      <c r="H39" s="15" t="s">
        <v>140</v>
      </c>
      <c r="I39" s="34" t="s">
        <v>40</v>
      </c>
      <c r="J39" s="34"/>
      <c r="K39" s="34"/>
      <c r="L39" s="11"/>
    </row>
    <row r="40" spans="1:12" ht="27" customHeight="1" x14ac:dyDescent="0.25">
      <c r="A40">
        <v>34</v>
      </c>
      <c r="B40" s="32"/>
      <c r="C40" s="13" t="s">
        <v>6</v>
      </c>
      <c r="D40" s="13" t="s">
        <v>6</v>
      </c>
      <c r="E40" s="14" t="s">
        <v>138</v>
      </c>
      <c r="F40" s="14">
        <v>100</v>
      </c>
      <c r="G40" s="14">
        <v>223</v>
      </c>
      <c r="H40" s="15" t="s">
        <v>130</v>
      </c>
      <c r="I40" s="34" t="s">
        <v>40</v>
      </c>
      <c r="J40" s="34"/>
      <c r="K40" s="34"/>
      <c r="L40" s="11"/>
    </row>
    <row r="41" spans="1:12" ht="27" customHeight="1" x14ac:dyDescent="0.25">
      <c r="A41">
        <v>35</v>
      </c>
      <c r="B41" s="32"/>
      <c r="C41" s="13" t="s">
        <v>6</v>
      </c>
      <c r="D41" s="13" t="s">
        <v>199</v>
      </c>
      <c r="E41" s="14" t="s">
        <v>198</v>
      </c>
      <c r="F41" s="14" t="s">
        <v>107</v>
      </c>
      <c r="G41" s="14" t="s">
        <v>107</v>
      </c>
      <c r="H41" s="15" t="s">
        <v>200</v>
      </c>
      <c r="I41" s="35"/>
      <c r="J41" s="36"/>
      <c r="K41" s="37"/>
      <c r="L41" s="11"/>
    </row>
    <row r="42" spans="1:12" ht="33.75" customHeight="1" x14ac:dyDescent="0.25">
      <c r="A42">
        <v>36</v>
      </c>
      <c r="B42" s="33"/>
      <c r="C42" s="13" t="s">
        <v>6</v>
      </c>
      <c r="D42" s="13" t="s">
        <v>6</v>
      </c>
      <c r="E42" s="14" t="s">
        <v>137</v>
      </c>
      <c r="F42" s="14">
        <v>100</v>
      </c>
      <c r="G42" s="14">
        <v>180</v>
      </c>
      <c r="H42" s="15" t="s">
        <v>139</v>
      </c>
      <c r="I42" s="34" t="s">
        <v>40</v>
      </c>
      <c r="J42" s="34"/>
      <c r="K42" s="34"/>
      <c r="L42" s="11"/>
    </row>
    <row r="43" spans="1:12" ht="33.75" customHeight="1" x14ac:dyDescent="0.25">
      <c r="A43">
        <v>37</v>
      </c>
      <c r="B43" s="31" t="s">
        <v>41</v>
      </c>
      <c r="C43" s="13" t="s">
        <v>6</v>
      </c>
      <c r="D43" s="13" t="s">
        <v>6</v>
      </c>
      <c r="E43" s="14" t="s">
        <v>79</v>
      </c>
      <c r="F43" s="14" t="s">
        <v>6</v>
      </c>
      <c r="G43" s="14" t="s">
        <v>6</v>
      </c>
      <c r="H43" s="15" t="s">
        <v>78</v>
      </c>
      <c r="I43" s="34" t="s">
        <v>40</v>
      </c>
      <c r="J43" s="34"/>
      <c r="K43" s="34"/>
      <c r="L43" s="11"/>
    </row>
    <row r="44" spans="1:12" ht="33.75" customHeight="1" x14ac:dyDescent="0.25">
      <c r="A44">
        <v>38</v>
      </c>
      <c r="B44" s="32"/>
      <c r="C44" s="13" t="s">
        <v>6</v>
      </c>
      <c r="D44" s="13" t="s">
        <v>6</v>
      </c>
      <c r="E44" s="14" t="s">
        <v>104</v>
      </c>
      <c r="F44" s="14" t="s">
        <v>6</v>
      </c>
      <c r="G44" s="14" t="s">
        <v>6</v>
      </c>
      <c r="H44" s="15" t="s">
        <v>87</v>
      </c>
      <c r="I44" s="34" t="s">
        <v>40</v>
      </c>
      <c r="J44" s="34"/>
      <c r="K44" s="34"/>
      <c r="L44" s="11"/>
    </row>
    <row r="45" spans="1:12" ht="33.75" customHeight="1" x14ac:dyDescent="0.25">
      <c r="A45">
        <v>39</v>
      </c>
      <c r="B45" s="33"/>
      <c r="C45" s="13" t="s">
        <v>6</v>
      </c>
      <c r="D45" s="13" t="s">
        <v>6</v>
      </c>
      <c r="E45" s="14" t="s">
        <v>19</v>
      </c>
      <c r="F45" s="14">
        <v>95</v>
      </c>
      <c r="G45" s="14">
        <v>63</v>
      </c>
      <c r="H45" s="15" t="s">
        <v>20</v>
      </c>
      <c r="I45" s="34"/>
      <c r="J45" s="34"/>
      <c r="K45" s="34"/>
      <c r="L45" s="11"/>
    </row>
    <row r="46" spans="1:12" ht="27" customHeight="1" x14ac:dyDescent="0.25">
      <c r="A46">
        <v>40</v>
      </c>
      <c r="B46" s="31" t="s">
        <v>22</v>
      </c>
      <c r="C46" s="38" t="s">
        <v>6</v>
      </c>
      <c r="D46" s="38" t="s">
        <v>177</v>
      </c>
      <c r="E46" s="14" t="s">
        <v>42</v>
      </c>
      <c r="F46" s="14">
        <v>99</v>
      </c>
      <c r="G46" s="14">
        <v>146</v>
      </c>
      <c r="H46" s="15" t="s">
        <v>27</v>
      </c>
      <c r="I46" s="35"/>
      <c r="J46" s="36"/>
      <c r="K46" s="37"/>
      <c r="L46" s="11"/>
    </row>
    <row r="47" spans="1:12" ht="27" customHeight="1" x14ac:dyDescent="0.25">
      <c r="A47">
        <v>41</v>
      </c>
      <c r="B47" s="32"/>
      <c r="C47" s="39"/>
      <c r="D47" s="39"/>
      <c r="E47" s="14" t="s">
        <v>55</v>
      </c>
      <c r="F47" s="14" t="s">
        <v>107</v>
      </c>
      <c r="G47" s="14" t="s">
        <v>107</v>
      </c>
      <c r="H47" s="15" t="s">
        <v>100</v>
      </c>
      <c r="I47" s="34" t="s">
        <v>107</v>
      </c>
      <c r="J47" s="34"/>
      <c r="K47" s="34"/>
      <c r="L47" s="11"/>
    </row>
    <row r="48" spans="1:12" ht="27" customHeight="1" x14ac:dyDescent="0.25">
      <c r="A48">
        <v>42</v>
      </c>
      <c r="B48" s="32"/>
      <c r="C48" s="39"/>
      <c r="D48" s="39"/>
      <c r="E48" s="22" t="s">
        <v>196</v>
      </c>
      <c r="F48" s="22">
        <v>155</v>
      </c>
      <c r="G48" s="22">
        <v>498</v>
      </c>
      <c r="H48" s="23" t="s">
        <v>197</v>
      </c>
      <c r="I48" s="35" t="s">
        <v>107</v>
      </c>
      <c r="J48" s="36"/>
      <c r="K48" s="37"/>
      <c r="L48" s="11"/>
    </row>
    <row r="49" spans="1:12" ht="27" customHeight="1" x14ac:dyDescent="0.25">
      <c r="A49">
        <v>43</v>
      </c>
      <c r="B49" s="32"/>
      <c r="C49" s="39"/>
      <c r="D49" s="39"/>
      <c r="E49" s="22" t="s">
        <v>102</v>
      </c>
      <c r="F49" s="22" t="s">
        <v>107</v>
      </c>
      <c r="G49" s="22" t="s">
        <v>107</v>
      </c>
      <c r="H49" s="23" t="s">
        <v>101</v>
      </c>
      <c r="I49" s="35" t="s">
        <v>107</v>
      </c>
      <c r="J49" s="36"/>
      <c r="K49" s="37"/>
      <c r="L49" s="11"/>
    </row>
    <row r="50" spans="1:12" ht="27" customHeight="1" x14ac:dyDescent="0.25">
      <c r="A50">
        <v>44</v>
      </c>
      <c r="B50" s="32"/>
      <c r="C50" s="39"/>
      <c r="D50" s="40"/>
      <c r="E50" s="22" t="s">
        <v>176</v>
      </c>
      <c r="F50" s="22">
        <v>165</v>
      </c>
      <c r="G50" s="22">
        <v>70</v>
      </c>
      <c r="H50" s="23" t="s">
        <v>175</v>
      </c>
      <c r="I50" s="35" t="s">
        <v>107</v>
      </c>
      <c r="J50" s="36"/>
      <c r="K50" s="37"/>
      <c r="L50" s="11"/>
    </row>
    <row r="51" spans="1:12" ht="22.9" customHeight="1" x14ac:dyDescent="0.25">
      <c r="A51">
        <v>45</v>
      </c>
      <c r="B51" s="33"/>
      <c r="C51" s="40"/>
      <c r="D51" s="19" t="s">
        <v>6</v>
      </c>
      <c r="E51" s="22" t="s">
        <v>105</v>
      </c>
      <c r="F51" s="22" t="s">
        <v>116</v>
      </c>
      <c r="G51" s="22" t="s">
        <v>116</v>
      </c>
      <c r="H51" s="23" t="s">
        <v>91</v>
      </c>
      <c r="I51" s="35" t="s">
        <v>148</v>
      </c>
      <c r="J51" s="36"/>
      <c r="K51" s="37"/>
      <c r="L51" s="11"/>
    </row>
    <row r="52" spans="1:12" ht="22.9" customHeight="1" x14ac:dyDescent="0.25">
      <c r="A52">
        <v>46</v>
      </c>
      <c r="B52" s="31" t="s">
        <v>23</v>
      </c>
      <c r="C52" s="19" t="s">
        <v>6</v>
      </c>
      <c r="D52" s="19" t="s">
        <v>6</v>
      </c>
      <c r="E52" s="14" t="s">
        <v>88</v>
      </c>
      <c r="F52" s="14">
        <v>120</v>
      </c>
      <c r="G52" s="14">
        <v>243</v>
      </c>
      <c r="H52" s="15" t="s">
        <v>90</v>
      </c>
      <c r="I52" s="35" t="s">
        <v>98</v>
      </c>
      <c r="J52" s="36"/>
      <c r="K52" s="37"/>
      <c r="L52" s="11"/>
    </row>
    <row r="53" spans="1:12" ht="22.9" customHeight="1" x14ac:dyDescent="0.25">
      <c r="A53">
        <v>47</v>
      </c>
      <c r="B53" s="32"/>
      <c r="C53" s="24" t="s">
        <v>6</v>
      </c>
      <c r="D53" s="24" t="s">
        <v>6</v>
      </c>
      <c r="E53" s="24" t="s">
        <v>152</v>
      </c>
      <c r="F53" s="13">
        <v>150</v>
      </c>
      <c r="G53" s="13">
        <v>150</v>
      </c>
      <c r="H53" s="15" t="s">
        <v>95</v>
      </c>
      <c r="I53" s="35" t="s">
        <v>98</v>
      </c>
      <c r="J53" s="36"/>
      <c r="K53" s="37"/>
      <c r="L53" s="11"/>
    </row>
    <row r="54" spans="1:12" ht="22.9" customHeight="1" x14ac:dyDescent="0.25">
      <c r="A54">
        <v>48</v>
      </c>
      <c r="B54" s="32"/>
      <c r="C54" s="13" t="s">
        <v>6</v>
      </c>
      <c r="D54" s="13" t="s">
        <v>6</v>
      </c>
      <c r="E54" s="13" t="s">
        <v>153</v>
      </c>
      <c r="F54" s="13">
        <v>61</v>
      </c>
      <c r="G54" s="13">
        <v>350</v>
      </c>
      <c r="H54" s="15" t="s">
        <v>96</v>
      </c>
      <c r="I54" s="35" t="s">
        <v>98</v>
      </c>
      <c r="J54" s="36"/>
      <c r="K54" s="37"/>
      <c r="L54" s="11"/>
    </row>
    <row r="55" spans="1:12" ht="22.9" customHeight="1" x14ac:dyDescent="0.25">
      <c r="A55">
        <v>49</v>
      </c>
      <c r="B55" s="32"/>
      <c r="C55" s="13" t="s">
        <v>6</v>
      </c>
      <c r="D55" s="13" t="s">
        <v>6</v>
      </c>
      <c r="E55" s="24" t="s">
        <v>151</v>
      </c>
      <c r="F55" s="13">
        <v>708</v>
      </c>
      <c r="G55" s="13">
        <v>163</v>
      </c>
      <c r="H55" s="15" t="s">
        <v>97</v>
      </c>
      <c r="I55" s="35" t="s">
        <v>98</v>
      </c>
      <c r="J55" s="36"/>
      <c r="K55" s="37"/>
      <c r="L55" s="11"/>
    </row>
    <row r="56" spans="1:12" ht="33.75" customHeight="1" x14ac:dyDescent="0.25">
      <c r="A56">
        <v>50</v>
      </c>
      <c r="B56" s="32"/>
      <c r="C56" s="13" t="s">
        <v>6</v>
      </c>
      <c r="D56" s="13" t="s">
        <v>6</v>
      </c>
      <c r="E56" s="30" t="s">
        <v>154</v>
      </c>
      <c r="F56" s="13" t="s">
        <v>107</v>
      </c>
      <c r="G56" s="13" t="s">
        <v>107</v>
      </c>
      <c r="H56" s="15" t="s">
        <v>120</v>
      </c>
      <c r="I56" s="35" t="s">
        <v>98</v>
      </c>
      <c r="J56" s="36"/>
      <c r="K56" s="37"/>
      <c r="L56" s="11"/>
    </row>
    <row r="57" spans="1:12" ht="32.450000000000003" customHeight="1" x14ac:dyDescent="0.25">
      <c r="A57">
        <v>51</v>
      </c>
      <c r="B57" s="32"/>
      <c r="C57" s="13" t="s">
        <v>6</v>
      </c>
      <c r="D57" s="13" t="s">
        <v>6</v>
      </c>
      <c r="E57" s="30" t="s">
        <v>117</v>
      </c>
      <c r="F57" s="13">
        <v>300</v>
      </c>
      <c r="G57" s="13">
        <v>665.9</v>
      </c>
      <c r="H57" s="15" t="s">
        <v>141</v>
      </c>
      <c r="I57" s="35" t="s">
        <v>98</v>
      </c>
      <c r="J57" s="36"/>
      <c r="K57" s="37"/>
      <c r="L57" s="11"/>
    </row>
    <row r="58" spans="1:12" ht="32.450000000000003" customHeight="1" x14ac:dyDescent="0.25">
      <c r="A58">
        <v>52</v>
      </c>
      <c r="B58" s="32"/>
      <c r="C58" s="13" t="s">
        <v>6</v>
      </c>
      <c r="D58" s="13" t="s">
        <v>6</v>
      </c>
      <c r="E58" s="14" t="s">
        <v>194</v>
      </c>
      <c r="F58" s="13">
        <v>240</v>
      </c>
      <c r="G58" s="13">
        <v>120</v>
      </c>
      <c r="H58" s="15" t="s">
        <v>195</v>
      </c>
      <c r="I58" s="35" t="s">
        <v>98</v>
      </c>
      <c r="J58" s="36"/>
      <c r="K58" s="37"/>
      <c r="L58" s="11"/>
    </row>
    <row r="59" spans="1:12" ht="21" customHeight="1" x14ac:dyDescent="0.25">
      <c r="A59">
        <v>53</v>
      </c>
      <c r="B59" s="33"/>
      <c r="C59" s="13" t="s">
        <v>6</v>
      </c>
      <c r="D59" s="13" t="s">
        <v>28</v>
      </c>
      <c r="E59" s="14" t="s">
        <v>29</v>
      </c>
      <c r="F59" s="14">
        <v>209</v>
      </c>
      <c r="G59" s="14">
        <v>223</v>
      </c>
      <c r="H59" s="15" t="s">
        <v>30</v>
      </c>
      <c r="I59" s="34"/>
      <c r="J59" s="34"/>
      <c r="K59" s="34"/>
      <c r="L59" s="11"/>
    </row>
    <row r="60" spans="1:12" ht="32.450000000000003" customHeight="1" x14ac:dyDescent="0.25">
      <c r="A60">
        <v>54</v>
      </c>
      <c r="B60" s="31" t="s">
        <v>26</v>
      </c>
      <c r="C60" s="13" t="s">
        <v>143</v>
      </c>
      <c r="D60" s="13" t="s">
        <v>6</v>
      </c>
      <c r="E60" s="14" t="s">
        <v>144</v>
      </c>
      <c r="F60" s="14" t="s">
        <v>107</v>
      </c>
      <c r="G60" s="14" t="s">
        <v>107</v>
      </c>
      <c r="H60" s="15" t="s">
        <v>145</v>
      </c>
      <c r="I60" s="35" t="s">
        <v>40</v>
      </c>
      <c r="J60" s="36"/>
      <c r="K60" s="37"/>
      <c r="L60" s="11"/>
    </row>
    <row r="61" spans="1:12" ht="30.6" customHeight="1" x14ac:dyDescent="0.25">
      <c r="A61">
        <v>55</v>
      </c>
      <c r="B61" s="32"/>
      <c r="C61" s="13" t="s">
        <v>24</v>
      </c>
      <c r="D61" s="13" t="s">
        <v>6</v>
      </c>
      <c r="E61" s="14" t="s">
        <v>109</v>
      </c>
      <c r="F61" s="14">
        <v>120</v>
      </c>
      <c r="G61" s="14">
        <v>243</v>
      </c>
      <c r="H61" s="15" t="s">
        <v>189</v>
      </c>
      <c r="I61" s="35" t="s">
        <v>40</v>
      </c>
      <c r="J61" s="36"/>
      <c r="K61" s="37"/>
      <c r="L61" s="11"/>
    </row>
    <row r="62" spans="1:12" ht="21" customHeight="1" x14ac:dyDescent="0.25">
      <c r="A62">
        <v>56</v>
      </c>
      <c r="B62" s="32"/>
      <c r="C62" s="13" t="s">
        <v>24</v>
      </c>
      <c r="D62" s="13" t="s">
        <v>6</v>
      </c>
      <c r="E62" s="14" t="s">
        <v>188</v>
      </c>
      <c r="F62" s="14">
        <v>52</v>
      </c>
      <c r="G62" s="14">
        <v>228</v>
      </c>
      <c r="H62" s="15" t="s">
        <v>108</v>
      </c>
      <c r="I62" s="34" t="s">
        <v>40</v>
      </c>
      <c r="J62" s="34"/>
      <c r="K62" s="34"/>
      <c r="L62" s="11"/>
    </row>
    <row r="63" spans="1:12" ht="30" x14ac:dyDescent="0.25">
      <c r="A63">
        <v>57</v>
      </c>
      <c r="B63" s="32"/>
      <c r="C63" s="13" t="s">
        <v>24</v>
      </c>
      <c r="D63" s="13" t="s">
        <v>6</v>
      </c>
      <c r="E63" s="14" t="s">
        <v>31</v>
      </c>
      <c r="F63" s="14">
        <v>137</v>
      </c>
      <c r="G63" s="14">
        <v>1319</v>
      </c>
      <c r="H63" s="15" t="s">
        <v>142</v>
      </c>
      <c r="I63" s="34" t="s">
        <v>40</v>
      </c>
      <c r="J63" s="34"/>
      <c r="K63" s="34"/>
      <c r="L63" s="11"/>
    </row>
    <row r="64" spans="1:12" ht="30" x14ac:dyDescent="0.25">
      <c r="A64">
        <v>58</v>
      </c>
      <c r="B64" s="32"/>
      <c r="C64" s="13" t="s">
        <v>24</v>
      </c>
      <c r="D64" s="13" t="s">
        <v>6</v>
      </c>
      <c r="E64" s="14" t="s">
        <v>110</v>
      </c>
      <c r="F64" s="14">
        <v>40</v>
      </c>
      <c r="G64" s="14">
        <v>115</v>
      </c>
      <c r="H64" s="15" t="s">
        <v>106</v>
      </c>
      <c r="I64" s="34" t="s">
        <v>40</v>
      </c>
      <c r="J64" s="34"/>
      <c r="K64" s="34"/>
      <c r="L64" s="11"/>
    </row>
    <row r="65" spans="1:12" ht="29.25" customHeight="1" x14ac:dyDescent="0.25">
      <c r="A65">
        <v>59</v>
      </c>
      <c r="B65" s="32"/>
      <c r="C65" s="13" t="s">
        <v>24</v>
      </c>
      <c r="D65" s="13" t="s">
        <v>6</v>
      </c>
      <c r="E65" s="14" t="s">
        <v>178</v>
      </c>
      <c r="F65" s="14" t="s">
        <v>107</v>
      </c>
      <c r="G65" s="14" t="s">
        <v>107</v>
      </c>
      <c r="H65" s="15" t="s">
        <v>179</v>
      </c>
      <c r="I65" s="34" t="s">
        <v>40</v>
      </c>
      <c r="J65" s="34"/>
      <c r="K65" s="34"/>
      <c r="L65" s="11"/>
    </row>
    <row r="66" spans="1:12" ht="29.25" customHeight="1" x14ac:dyDescent="0.25">
      <c r="A66">
        <v>60</v>
      </c>
      <c r="B66" s="32"/>
      <c r="C66" s="13" t="s">
        <v>24</v>
      </c>
      <c r="D66" s="13" t="s">
        <v>6</v>
      </c>
      <c r="E66" s="14" t="s">
        <v>187</v>
      </c>
      <c r="F66" s="14">
        <v>110</v>
      </c>
      <c r="G66" s="14">
        <v>476</v>
      </c>
      <c r="H66" s="15" t="s">
        <v>190</v>
      </c>
      <c r="I66" s="34" t="s">
        <v>40</v>
      </c>
      <c r="J66" s="34"/>
      <c r="K66" s="34"/>
      <c r="L66" s="11"/>
    </row>
    <row r="67" spans="1:12" ht="29.25" customHeight="1" x14ac:dyDescent="0.25">
      <c r="A67">
        <v>61</v>
      </c>
      <c r="B67" s="32"/>
      <c r="C67" s="13" t="s">
        <v>24</v>
      </c>
      <c r="D67" s="13" t="s">
        <v>6</v>
      </c>
      <c r="E67" s="14" t="s">
        <v>191</v>
      </c>
      <c r="F67" s="14" t="s">
        <v>107</v>
      </c>
      <c r="G67" s="14" t="s">
        <v>107</v>
      </c>
      <c r="H67" s="29" t="s">
        <v>192</v>
      </c>
      <c r="I67" s="34" t="s">
        <v>40</v>
      </c>
      <c r="J67" s="34"/>
      <c r="K67" s="34"/>
      <c r="L67" s="11"/>
    </row>
    <row r="68" spans="1:12" ht="29.25" customHeight="1" x14ac:dyDescent="0.25">
      <c r="A68">
        <v>62</v>
      </c>
      <c r="B68" s="32"/>
      <c r="C68" s="13" t="s">
        <v>24</v>
      </c>
      <c r="D68" s="13" t="s">
        <v>6</v>
      </c>
      <c r="E68" s="14" t="s">
        <v>191</v>
      </c>
      <c r="F68" s="14" t="s">
        <v>107</v>
      </c>
      <c r="G68" s="14" t="s">
        <v>107</v>
      </c>
      <c r="H68" s="29" t="s">
        <v>193</v>
      </c>
      <c r="I68" s="34" t="s">
        <v>40</v>
      </c>
      <c r="J68" s="34"/>
      <c r="K68" s="34"/>
      <c r="L68" s="11"/>
    </row>
    <row r="69" spans="1:12" ht="15.75" x14ac:dyDescent="0.25">
      <c r="A69">
        <v>63</v>
      </c>
      <c r="B69" s="33"/>
      <c r="C69" s="13" t="s">
        <v>25</v>
      </c>
      <c r="D69" s="13" t="s">
        <v>6</v>
      </c>
      <c r="E69" s="14" t="s">
        <v>43</v>
      </c>
      <c r="F69" s="14">
        <v>240</v>
      </c>
      <c r="G69" s="14">
        <v>456</v>
      </c>
      <c r="H69" s="15" t="s">
        <v>32</v>
      </c>
      <c r="I69" s="34" t="s">
        <v>40</v>
      </c>
      <c r="J69" s="34"/>
      <c r="K69" s="34"/>
      <c r="L69" s="11"/>
    </row>
    <row r="70" spans="1:12" ht="15" customHeight="1" x14ac:dyDescent="0.25">
      <c r="A70">
        <v>64</v>
      </c>
      <c r="B70" s="43" t="s">
        <v>52</v>
      </c>
      <c r="C70" s="13" t="s">
        <v>173</v>
      </c>
      <c r="D70" s="13" t="s">
        <v>6</v>
      </c>
      <c r="E70" s="14" t="s">
        <v>53</v>
      </c>
      <c r="F70" s="14" t="s">
        <v>107</v>
      </c>
      <c r="G70" s="14" t="s">
        <v>107</v>
      </c>
      <c r="H70" s="15" t="s">
        <v>54</v>
      </c>
      <c r="I70" s="34" t="s">
        <v>40</v>
      </c>
      <c r="J70" s="34"/>
      <c r="K70" s="34"/>
      <c r="L70" s="11"/>
    </row>
    <row r="71" spans="1:12" ht="15" customHeight="1" x14ac:dyDescent="0.25">
      <c r="A71">
        <v>65</v>
      </c>
      <c r="B71" s="43"/>
      <c r="C71" s="13" t="s">
        <v>173</v>
      </c>
      <c r="D71" s="13" t="s">
        <v>6</v>
      </c>
      <c r="E71" s="14" t="s">
        <v>163</v>
      </c>
      <c r="F71" s="14" t="s">
        <v>107</v>
      </c>
      <c r="G71" s="14" t="s">
        <v>107</v>
      </c>
      <c r="H71" s="15" t="s">
        <v>164</v>
      </c>
      <c r="I71" s="34" t="s">
        <v>40</v>
      </c>
      <c r="J71" s="34"/>
      <c r="K71" s="34"/>
      <c r="L71" s="11"/>
    </row>
    <row r="72" spans="1:12" ht="15" customHeight="1" x14ac:dyDescent="0.25">
      <c r="A72">
        <v>66</v>
      </c>
      <c r="B72" s="43"/>
      <c r="C72" s="13" t="s">
        <v>173</v>
      </c>
      <c r="D72" s="13" t="s">
        <v>6</v>
      </c>
      <c r="E72" s="14" t="s">
        <v>165</v>
      </c>
      <c r="F72" s="14" t="s">
        <v>107</v>
      </c>
      <c r="G72" s="14" t="s">
        <v>107</v>
      </c>
      <c r="H72" s="15" t="s">
        <v>166</v>
      </c>
      <c r="I72" s="34" t="s">
        <v>40</v>
      </c>
      <c r="J72" s="34"/>
      <c r="K72" s="34"/>
      <c r="L72" s="11"/>
    </row>
    <row r="73" spans="1:12" ht="15.75" x14ac:dyDescent="0.25">
      <c r="A73">
        <v>67</v>
      </c>
      <c r="B73" s="43"/>
      <c r="C73" s="13" t="s">
        <v>174</v>
      </c>
      <c r="D73" s="13" t="s">
        <v>6</v>
      </c>
      <c r="E73" s="14" t="s">
        <v>168</v>
      </c>
      <c r="F73" s="13" t="s">
        <v>107</v>
      </c>
      <c r="G73" s="13" t="s">
        <v>107</v>
      </c>
      <c r="H73" s="28" t="s">
        <v>167</v>
      </c>
      <c r="I73" s="34" t="s">
        <v>40</v>
      </c>
      <c r="J73" s="34"/>
      <c r="K73" s="34"/>
    </row>
    <row r="74" spans="1:12" ht="15.75" x14ac:dyDescent="0.25">
      <c r="A74">
        <v>68</v>
      </c>
      <c r="B74" s="43"/>
      <c r="C74" s="13" t="s">
        <v>174</v>
      </c>
      <c r="D74" s="13" t="s">
        <v>6</v>
      </c>
      <c r="E74" s="24" t="s">
        <v>169</v>
      </c>
      <c r="F74" s="13" t="s">
        <v>107</v>
      </c>
      <c r="G74" s="13" t="s">
        <v>107</v>
      </c>
      <c r="H74" s="28" t="s">
        <v>170</v>
      </c>
      <c r="I74" s="34" t="s">
        <v>40</v>
      </c>
      <c r="J74" s="34"/>
      <c r="K74" s="34"/>
    </row>
    <row r="75" spans="1:12" ht="30" x14ac:dyDescent="0.25">
      <c r="A75">
        <v>69</v>
      </c>
      <c r="B75" s="43"/>
      <c r="C75" s="13" t="s">
        <v>173</v>
      </c>
      <c r="D75" s="13" t="s">
        <v>6</v>
      </c>
      <c r="E75" s="30" t="s">
        <v>171</v>
      </c>
      <c r="F75" s="13" t="s">
        <v>107</v>
      </c>
      <c r="G75" s="13" t="s">
        <v>107</v>
      </c>
      <c r="H75" s="28" t="s">
        <v>172</v>
      </c>
      <c r="I75" s="34" t="s">
        <v>40</v>
      </c>
      <c r="J75" s="34"/>
      <c r="K75" s="34"/>
    </row>
    <row r="76" spans="1:12" ht="15.75" x14ac:dyDescent="0.25">
      <c r="A76">
        <v>70</v>
      </c>
      <c r="B76" s="43"/>
      <c r="C76" s="24" t="s">
        <v>173</v>
      </c>
      <c r="D76" s="13" t="s">
        <v>6</v>
      </c>
      <c r="E76" s="30" t="s">
        <v>185</v>
      </c>
      <c r="F76" s="13" t="s">
        <v>107</v>
      </c>
      <c r="G76" s="13" t="s">
        <v>107</v>
      </c>
      <c r="H76" s="28" t="s">
        <v>186</v>
      </c>
      <c r="I76" s="34" t="s">
        <v>40</v>
      </c>
      <c r="J76" s="34"/>
      <c r="K76" s="34"/>
    </row>
    <row r="77" spans="1:12" ht="15.75" x14ac:dyDescent="0.25">
      <c r="A77">
        <v>71</v>
      </c>
      <c r="B77" s="43"/>
      <c r="C77" s="24" t="s">
        <v>173</v>
      </c>
      <c r="D77" s="13" t="s">
        <v>6</v>
      </c>
      <c r="E77" s="30" t="s">
        <v>184</v>
      </c>
      <c r="F77" s="13" t="s">
        <v>107</v>
      </c>
      <c r="G77" s="13" t="s">
        <v>107</v>
      </c>
      <c r="H77" s="28" t="s">
        <v>183</v>
      </c>
      <c r="I77" s="34" t="s">
        <v>40</v>
      </c>
      <c r="J77" s="34"/>
      <c r="K77" s="34"/>
    </row>
    <row r="78" spans="1:12" x14ac:dyDescent="0.25">
      <c r="B78" s="25"/>
      <c r="C78" s="25"/>
      <c r="D78" s="25"/>
      <c r="E78" s="25"/>
      <c r="F78" s="26"/>
      <c r="G78" s="26"/>
      <c r="H78" s="27"/>
      <c r="I78" s="25"/>
      <c r="J78" s="25"/>
      <c r="K78" s="25"/>
    </row>
    <row r="79" spans="1:12" x14ac:dyDescent="0.25">
      <c r="B79" s="25"/>
      <c r="C79" s="25"/>
      <c r="D79" s="25"/>
      <c r="E79" s="25"/>
      <c r="F79" s="26"/>
      <c r="G79" s="26"/>
      <c r="H79" s="27"/>
      <c r="I79" s="25"/>
      <c r="J79" s="25"/>
      <c r="K79" s="25"/>
    </row>
    <row r="80" spans="1:12" x14ac:dyDescent="0.25">
      <c r="B80" s="3" t="s">
        <v>44</v>
      </c>
      <c r="C80" s="2"/>
      <c r="D80" s="2"/>
      <c r="E80" s="2"/>
      <c r="F80" s="7"/>
      <c r="G80" s="7"/>
      <c r="H80" s="5"/>
      <c r="I80" s="2"/>
      <c r="J80" s="2"/>
      <c r="K80" s="2"/>
    </row>
    <row r="81" spans="2:12" x14ac:dyDescent="0.25">
      <c r="B81" s="42" t="s">
        <v>47</v>
      </c>
      <c r="C81" s="42"/>
      <c r="D81" s="42"/>
      <c r="E81" s="42"/>
      <c r="F81" s="42"/>
      <c r="G81" s="42"/>
      <c r="H81" s="42"/>
      <c r="I81" s="42"/>
      <c r="J81" s="42"/>
      <c r="K81" s="42"/>
      <c r="L81" s="12"/>
    </row>
    <row r="82" spans="2:12" x14ac:dyDescent="0.25">
      <c r="B82" s="42" t="s">
        <v>48</v>
      </c>
      <c r="C82" s="42"/>
      <c r="D82" s="42"/>
      <c r="E82" s="42"/>
      <c r="F82" s="42"/>
      <c r="G82" s="42"/>
      <c r="H82" s="42"/>
      <c r="I82" s="42"/>
      <c r="J82" s="42"/>
      <c r="K82" s="42"/>
      <c r="L82" s="12"/>
    </row>
    <row r="83" spans="2:12" x14ac:dyDescent="0.25">
      <c r="B83" s="42" t="s">
        <v>51</v>
      </c>
      <c r="C83" s="42"/>
      <c r="D83" s="42"/>
      <c r="E83" s="42"/>
      <c r="F83" s="42"/>
      <c r="G83" s="42"/>
      <c r="H83" s="42"/>
      <c r="I83" s="42"/>
      <c r="J83" s="42"/>
      <c r="K83" s="42"/>
      <c r="L83" s="12"/>
    </row>
    <row r="84" spans="2:12" x14ac:dyDescent="0.25">
      <c r="B84" s="2" t="s">
        <v>56</v>
      </c>
      <c r="C84" s="2"/>
      <c r="D84" s="2"/>
      <c r="E84" s="2"/>
      <c r="F84" s="7"/>
      <c r="G84" s="7"/>
      <c r="H84" s="5"/>
      <c r="I84" s="2"/>
      <c r="J84" s="2"/>
      <c r="K84" s="2"/>
    </row>
    <row r="85" spans="2:12" x14ac:dyDescent="0.25">
      <c r="B85" s="2" t="s">
        <v>73</v>
      </c>
      <c r="C85" s="2"/>
      <c r="D85" s="2"/>
      <c r="E85" s="2"/>
      <c r="F85" s="7"/>
      <c r="G85" s="7"/>
      <c r="H85" s="5"/>
      <c r="I85" s="2"/>
      <c r="J85" s="2"/>
      <c r="K85" s="2"/>
    </row>
    <row r="88" spans="2:12" x14ac:dyDescent="0.25">
      <c r="B88" t="s">
        <v>149</v>
      </c>
    </row>
  </sheetData>
  <mergeCells count="89">
    <mergeCell ref="B5:K5"/>
    <mergeCell ref="I6:K6"/>
    <mergeCell ref="B7:B14"/>
    <mergeCell ref="C7:C9"/>
    <mergeCell ref="I7:K7"/>
    <mergeCell ref="I8:K8"/>
    <mergeCell ref="I9:K9"/>
    <mergeCell ref="I10:K10"/>
    <mergeCell ref="I11:K11"/>
    <mergeCell ref="I12:K12"/>
    <mergeCell ref="I26:K26"/>
    <mergeCell ref="I13:K13"/>
    <mergeCell ref="I14:K14"/>
    <mergeCell ref="B15:B16"/>
    <mergeCell ref="I15:K15"/>
    <mergeCell ref="I16:K16"/>
    <mergeCell ref="B17:B26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B27:B31"/>
    <mergeCell ref="I27:K27"/>
    <mergeCell ref="I28:K28"/>
    <mergeCell ref="I29:K29"/>
    <mergeCell ref="I30:K30"/>
    <mergeCell ref="I31:K31"/>
    <mergeCell ref="B32:B33"/>
    <mergeCell ref="I32:K32"/>
    <mergeCell ref="I33:K33"/>
    <mergeCell ref="B34:B37"/>
    <mergeCell ref="I36:K36"/>
    <mergeCell ref="I37:K37"/>
    <mergeCell ref="B38:B42"/>
    <mergeCell ref="I38:K38"/>
    <mergeCell ref="I39:K39"/>
    <mergeCell ref="I40:K40"/>
    <mergeCell ref="I41:K41"/>
    <mergeCell ref="I42:K42"/>
    <mergeCell ref="B43:B45"/>
    <mergeCell ref="I43:K43"/>
    <mergeCell ref="I44:K44"/>
    <mergeCell ref="I45:K45"/>
    <mergeCell ref="B46:B51"/>
    <mergeCell ref="C46:C51"/>
    <mergeCell ref="D46:D50"/>
    <mergeCell ref="I46:K46"/>
    <mergeCell ref="I47:K47"/>
    <mergeCell ref="I48:K48"/>
    <mergeCell ref="I49:K49"/>
    <mergeCell ref="I50:K50"/>
    <mergeCell ref="I51:K51"/>
    <mergeCell ref="B52:B59"/>
    <mergeCell ref="I52:K52"/>
    <mergeCell ref="I53:K53"/>
    <mergeCell ref="I54:K54"/>
    <mergeCell ref="I55:K55"/>
    <mergeCell ref="I56:K56"/>
    <mergeCell ref="I57:K57"/>
    <mergeCell ref="I58:K58"/>
    <mergeCell ref="I59:K59"/>
    <mergeCell ref="B60:B6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B81:K81"/>
    <mergeCell ref="B82:K82"/>
    <mergeCell ref="B83:K83"/>
    <mergeCell ref="B70:B77"/>
    <mergeCell ref="I70:K70"/>
    <mergeCell ref="I71:K71"/>
    <mergeCell ref="I72:K72"/>
    <mergeCell ref="I73:K73"/>
    <mergeCell ref="I74:K74"/>
    <mergeCell ref="I75:K75"/>
    <mergeCell ref="I76:K76"/>
    <mergeCell ref="I77:K77"/>
  </mergeCells>
  <pageMargins left="0.25" right="0.25" top="0.75" bottom="0.75" header="0.3" footer="0.3"/>
  <pageSetup paperSize="8" scale="5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R REUNION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IIE Saul Cruz</dc:creator>
  <cp:lastModifiedBy>LP-Calidad2</cp:lastModifiedBy>
  <cp:lastPrinted>2026-02-25T18:32:50Z</cp:lastPrinted>
  <dcterms:created xsi:type="dcterms:W3CDTF">2024-06-02T13:07:37Z</dcterms:created>
  <dcterms:modified xsi:type="dcterms:W3CDTF">2026-02-25T18:33:06Z</dcterms:modified>
</cp:coreProperties>
</file>